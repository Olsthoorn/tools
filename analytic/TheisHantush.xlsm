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eo/Entiteiten/IHE/ExcelTheisHantush/"/>
    </mc:Choice>
  </mc:AlternateContent>
  <xr:revisionPtr revIDLastSave="0" documentId="13_ncr:1_{3C5C57A2-924D-2943-91CB-5DEB9CCD09ED}" xr6:coauthVersionLast="47" xr6:coauthVersionMax="47" xr10:uidLastSave="{00000000-0000-0000-0000-000000000000}"/>
  <bookViews>
    <workbookView xWindow="-3840" yWindow="-25920" windowWidth="42220" windowHeight="23340" xr2:uid="{F801EA73-7625-BA46-850D-33D9ADEE2FCB}"/>
  </bookViews>
  <sheets>
    <sheet name="Sheet1" sheetId="1" r:id="rId1"/>
  </sheets>
  <definedNames>
    <definedName name="_xlchart.v1.0" hidden="1">Sheet1!$A$14:$A$62</definedName>
    <definedName name="_xlchart.v1.1" hidden="1">Sheet1!$C$13</definedName>
    <definedName name="_xlchart.v1.10" hidden="1">Sheet1!$G$14:$G$62</definedName>
    <definedName name="_xlchart.v1.11" hidden="1">Sheet1!$H$13</definedName>
    <definedName name="_xlchart.v1.12" hidden="1">Sheet1!$H$14:$H$62</definedName>
    <definedName name="_xlchart.v1.13" hidden="1">Sheet1!$I$13</definedName>
    <definedName name="_xlchart.v1.14" hidden="1">Sheet1!$I$14:$I$62</definedName>
    <definedName name="_xlchart.v1.15" hidden="1">Sheet1!$J$13</definedName>
    <definedName name="_xlchart.v1.16" hidden="1">Sheet1!$J$14:$J$62</definedName>
    <definedName name="_xlchart.v1.17" hidden="1">Sheet1!$K$13</definedName>
    <definedName name="_xlchart.v1.18" hidden="1">Sheet1!$K$14:$K$62</definedName>
    <definedName name="_xlchart.v1.2" hidden="1">Sheet1!$C$14:$C$62</definedName>
    <definedName name="_xlchart.v1.3" hidden="1">Sheet1!$D$13</definedName>
    <definedName name="_xlchart.v1.4" hidden="1">Sheet1!$D$14:$D$62</definedName>
    <definedName name="_xlchart.v1.5" hidden="1">Sheet1!$E$13</definedName>
    <definedName name="_xlchart.v1.6" hidden="1">Sheet1!$E$14:$E$62</definedName>
    <definedName name="_xlchart.v1.7" hidden="1">Sheet1!$F$13</definedName>
    <definedName name="_xlchart.v1.8" hidden="1">Sheet1!$F$14:$F$62</definedName>
    <definedName name="_xlchart.v1.9" hidden="1">Sheet1!$G$13</definedName>
    <definedName name="u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B14" i="1"/>
  <c r="B15" i="1" s="1"/>
  <c r="B16" i="1" s="1"/>
  <c r="G16" i="1" a="1"/>
  <c r="F16" i="1" a="1"/>
  <c r="K16" i="1" a="1"/>
  <c r="E16" i="1" a="1"/>
  <c r="C16" i="1" a="1"/>
  <c r="D16" i="1" a="1"/>
  <c r="I16" i="1" a="1"/>
  <c r="J16" i="1" a="1"/>
  <c r="H16" i="1" a="1"/>
  <c r="E14" i="1" a="1"/>
  <c r="E15" i="1" a="1"/>
  <c r="G15" i="1" a="1"/>
  <c r="I15" i="1" a="1"/>
  <c r="H15" i="1" a="1"/>
  <c r="J15" i="1" a="1"/>
  <c r="K15" i="1" a="1"/>
  <c r="K14" i="1" a="1"/>
  <c r="J14" i="1" a="1"/>
  <c r="I14" i="1" a="1"/>
  <c r="G14" i="1" a="1"/>
  <c r="H14" i="1" a="1"/>
  <c r="F15" i="1" a="1"/>
  <c r="F14" i="1" a="1"/>
  <c r="D15" i="1" a="1"/>
  <c r="D14" i="1" a="1"/>
  <c r="C15" i="1" a="1"/>
  <c r="C14" i="1" a="1"/>
  <c r="B17" i="1" l="1"/>
  <c r="A16" i="1"/>
  <c r="H16" i="1"/>
  <c r="J16" i="1"/>
  <c r="I16" i="1"/>
  <c r="D16" i="1"/>
  <c r="C16" i="1"/>
  <c r="E16" i="1"/>
  <c r="K16" i="1"/>
  <c r="F16" i="1"/>
  <c r="G16" i="1"/>
  <c r="B18" i="1"/>
  <c r="A17" i="1"/>
  <c r="E15" i="1"/>
  <c r="E14" i="1"/>
  <c r="A14" i="1"/>
  <c r="A15" i="1"/>
  <c r="K15" i="1"/>
  <c r="J15" i="1"/>
  <c r="H15" i="1"/>
  <c r="I15" i="1"/>
  <c r="G15" i="1"/>
  <c r="H14" i="1"/>
  <c r="G14" i="1"/>
  <c r="I14" i="1"/>
  <c r="J14" i="1"/>
  <c r="K14" i="1"/>
  <c r="F15" i="1"/>
  <c r="F14" i="1"/>
  <c r="D15" i="1"/>
  <c r="D14" i="1"/>
  <c r="C15" i="1"/>
  <c r="C14" i="1"/>
  <c r="F17" i="1" a="1"/>
  <c r="H17" i="1" a="1"/>
  <c r="I17" i="1" a="1"/>
  <c r="J17" i="1" a="1"/>
  <c r="C17" i="1" a="1"/>
  <c r="G17" i="1" a="1"/>
  <c r="D17" i="1" a="1"/>
  <c r="K17" i="1" a="1"/>
  <c r="E17" i="1" a="1"/>
  <c r="D18" i="1" a="1"/>
  <c r="E18" i="1" a="1"/>
  <c r="G18" i="1" a="1"/>
  <c r="H18" i="1" a="1"/>
  <c r="F18" i="1" a="1"/>
  <c r="I18" i="1" a="1"/>
  <c r="J18" i="1" a="1"/>
  <c r="C18" i="1" a="1"/>
  <c r="K18" i="1" a="1"/>
  <c r="E17" i="1" l="1"/>
  <c r="K17" i="1"/>
  <c r="D17" i="1"/>
  <c r="G17" i="1"/>
  <c r="C17" i="1"/>
  <c r="J17" i="1"/>
  <c r="I17" i="1"/>
  <c r="H17" i="1"/>
  <c r="F17" i="1"/>
  <c r="K18" i="1"/>
  <c r="C18" i="1"/>
  <c r="J18" i="1"/>
  <c r="I18" i="1"/>
  <c r="F18" i="1"/>
  <c r="H18" i="1"/>
  <c r="G18" i="1"/>
  <c r="E18" i="1"/>
  <c r="D18" i="1"/>
  <c r="A18" i="1"/>
  <c r="B19" i="1"/>
  <c r="D19" i="1" a="1"/>
  <c r="J19" i="1" a="1"/>
  <c r="K19" i="1" a="1"/>
  <c r="C19" i="1" a="1"/>
  <c r="F19" i="1" a="1"/>
  <c r="G19" i="1" a="1"/>
  <c r="E19" i="1" a="1"/>
  <c r="H19" i="1" a="1"/>
  <c r="I19" i="1" a="1"/>
  <c r="I19" i="1" l="1"/>
  <c r="H19" i="1"/>
  <c r="E19" i="1"/>
  <c r="G19" i="1"/>
  <c r="F19" i="1"/>
  <c r="C19" i="1"/>
  <c r="K19" i="1"/>
  <c r="J19" i="1"/>
  <c r="D19" i="1"/>
  <c r="B20" i="1"/>
  <c r="A19" i="1"/>
  <c r="H20" i="1" a="1"/>
  <c r="C20" i="1" a="1"/>
  <c r="I20" i="1" a="1"/>
  <c r="J20" i="1" a="1"/>
  <c r="K20" i="1" a="1"/>
  <c r="D20" i="1" a="1"/>
  <c r="F20" i="1" a="1"/>
  <c r="E20" i="1" a="1"/>
  <c r="G20" i="1" a="1"/>
  <c r="G20" i="1" l="1"/>
  <c r="E20" i="1"/>
  <c r="F20" i="1"/>
  <c r="D20" i="1"/>
  <c r="K20" i="1"/>
  <c r="J20" i="1"/>
  <c r="I20" i="1"/>
  <c r="C20" i="1"/>
  <c r="H20" i="1"/>
  <c r="B21" i="1"/>
  <c r="A20" i="1"/>
  <c r="F21" i="1" a="1"/>
  <c r="I21" i="1" a="1"/>
  <c r="G21" i="1" a="1"/>
  <c r="C21" i="1" a="1"/>
  <c r="H21" i="1" a="1"/>
  <c r="J21" i="1" a="1"/>
  <c r="K21" i="1" a="1"/>
  <c r="D21" i="1" a="1"/>
  <c r="E21" i="1" a="1"/>
  <c r="E21" i="1" l="1"/>
  <c r="D21" i="1"/>
  <c r="K21" i="1"/>
  <c r="J21" i="1"/>
  <c r="H21" i="1"/>
  <c r="C21" i="1"/>
  <c r="G21" i="1"/>
  <c r="I21" i="1"/>
  <c r="F21" i="1"/>
  <c r="A21" i="1"/>
  <c r="B22" i="1"/>
  <c r="D22" i="1" a="1"/>
  <c r="E22" i="1" a="1"/>
  <c r="H22" i="1" a="1"/>
  <c r="I22" i="1" a="1"/>
  <c r="G22" i="1" a="1"/>
  <c r="F22" i="1" a="1"/>
  <c r="J22" i="1" a="1"/>
  <c r="K22" i="1" a="1"/>
  <c r="C22" i="1" a="1"/>
  <c r="C22" i="1" l="1"/>
  <c r="K22" i="1"/>
  <c r="J22" i="1"/>
  <c r="F22" i="1"/>
  <c r="G22" i="1"/>
  <c r="I22" i="1"/>
  <c r="H22" i="1"/>
  <c r="E22" i="1"/>
  <c r="D22" i="1"/>
  <c r="A22" i="1"/>
  <c r="B23" i="1"/>
  <c r="J23" i="1" a="1"/>
  <c r="D23" i="1" a="1"/>
  <c r="F23" i="1" a="1"/>
  <c r="G23" i="1" a="1"/>
  <c r="H23" i="1" a="1"/>
  <c r="C23" i="1" a="1"/>
  <c r="E23" i="1" a="1"/>
  <c r="K23" i="1" a="1"/>
  <c r="I23" i="1" a="1"/>
  <c r="I23" i="1" l="1"/>
  <c r="K23" i="1"/>
  <c r="E23" i="1"/>
  <c r="C23" i="1"/>
  <c r="H23" i="1"/>
  <c r="G23" i="1"/>
  <c r="F23" i="1"/>
  <c r="D23" i="1"/>
  <c r="J23" i="1"/>
  <c r="B24" i="1"/>
  <c r="A23" i="1"/>
  <c r="H24" i="1" a="1"/>
  <c r="J24" i="1" a="1"/>
  <c r="I24" i="1" a="1"/>
  <c r="K24" i="1" a="1"/>
  <c r="D24" i="1" a="1"/>
  <c r="C24" i="1" a="1"/>
  <c r="F24" i="1" a="1"/>
  <c r="E24" i="1" a="1"/>
  <c r="G24" i="1" a="1"/>
  <c r="G24" i="1" l="1"/>
  <c r="E24" i="1"/>
  <c r="F24" i="1"/>
  <c r="C24" i="1"/>
  <c r="D24" i="1"/>
  <c r="K24" i="1"/>
  <c r="I24" i="1"/>
  <c r="J24" i="1"/>
  <c r="H24" i="1"/>
  <c r="B25" i="1"/>
  <c r="A24" i="1"/>
  <c r="F25" i="1" a="1"/>
  <c r="H25" i="1" a="1"/>
  <c r="G25" i="1" a="1"/>
  <c r="K25" i="1" a="1"/>
  <c r="J25" i="1" a="1"/>
  <c r="C25" i="1" a="1"/>
  <c r="I25" i="1" a="1"/>
  <c r="D25" i="1" a="1"/>
  <c r="E25" i="1" a="1"/>
  <c r="E25" i="1" l="1"/>
  <c r="D25" i="1"/>
  <c r="I25" i="1"/>
  <c r="C25" i="1"/>
  <c r="J25" i="1"/>
  <c r="K25" i="1"/>
  <c r="G25" i="1"/>
  <c r="H25" i="1"/>
  <c r="F25" i="1"/>
  <c r="B26" i="1"/>
  <c r="A25" i="1"/>
  <c r="D26" i="1" a="1"/>
  <c r="G26" i="1" a="1"/>
  <c r="H26" i="1" a="1"/>
  <c r="F26" i="1" a="1"/>
  <c r="E26" i="1" a="1"/>
  <c r="J26" i="1" a="1"/>
  <c r="I26" i="1" a="1"/>
  <c r="K26" i="1" a="1"/>
  <c r="C26" i="1" a="1"/>
  <c r="C26" i="1" l="1"/>
  <c r="K26" i="1"/>
  <c r="I26" i="1"/>
  <c r="J26" i="1"/>
  <c r="E26" i="1"/>
  <c r="F26" i="1"/>
  <c r="H26" i="1"/>
  <c r="G26" i="1"/>
  <c r="D26" i="1"/>
  <c r="A26" i="1"/>
  <c r="B27" i="1"/>
  <c r="J27" i="1" a="1"/>
  <c r="C27" i="1" a="1"/>
  <c r="K27" i="1" a="1"/>
  <c r="E27" i="1" a="1"/>
  <c r="D27" i="1" a="1"/>
  <c r="G27" i="1" a="1"/>
  <c r="F27" i="1" a="1"/>
  <c r="H27" i="1" a="1"/>
  <c r="I27" i="1" a="1"/>
  <c r="I27" i="1" l="1"/>
  <c r="H27" i="1"/>
  <c r="F27" i="1"/>
  <c r="G27" i="1"/>
  <c r="D27" i="1"/>
  <c r="E27" i="1"/>
  <c r="K27" i="1"/>
  <c r="C27" i="1"/>
  <c r="J27" i="1"/>
  <c r="B28" i="1"/>
  <c r="A27" i="1"/>
  <c r="H28" i="1" a="1"/>
  <c r="C28" i="1" a="1"/>
  <c r="K28" i="1" a="1"/>
  <c r="I28" i="1" a="1"/>
  <c r="D28" i="1" a="1"/>
  <c r="E28" i="1" a="1"/>
  <c r="F28" i="1" a="1"/>
  <c r="J28" i="1" a="1"/>
  <c r="G28" i="1" a="1"/>
  <c r="G28" i="1" l="1"/>
  <c r="J28" i="1"/>
  <c r="F28" i="1"/>
  <c r="E28" i="1"/>
  <c r="D28" i="1"/>
  <c r="I28" i="1"/>
  <c r="K28" i="1"/>
  <c r="C28" i="1"/>
  <c r="H28" i="1"/>
  <c r="A28" i="1"/>
  <c r="B29" i="1"/>
  <c r="F29" i="1" a="1"/>
  <c r="G29" i="1" a="1"/>
  <c r="H29" i="1" a="1"/>
  <c r="J29" i="1" a="1"/>
  <c r="K29" i="1" a="1"/>
  <c r="I29" i="1" a="1"/>
  <c r="C29" i="1" a="1"/>
  <c r="D29" i="1" a="1"/>
  <c r="E29" i="1" a="1"/>
  <c r="E29" i="1" l="1"/>
  <c r="D29" i="1"/>
  <c r="C29" i="1"/>
  <c r="I29" i="1"/>
  <c r="K29" i="1"/>
  <c r="J29" i="1"/>
  <c r="H29" i="1"/>
  <c r="G29" i="1"/>
  <c r="F29" i="1"/>
  <c r="B30" i="1"/>
  <c r="A29" i="1"/>
  <c r="D30" i="1" a="1"/>
  <c r="E30" i="1" a="1"/>
  <c r="H30" i="1" a="1"/>
  <c r="F30" i="1" a="1"/>
  <c r="I30" i="1" a="1"/>
  <c r="J30" i="1" a="1"/>
  <c r="G30" i="1" a="1"/>
  <c r="K30" i="1" a="1"/>
  <c r="C30" i="1" a="1"/>
  <c r="C30" i="1" l="1"/>
  <c r="K30" i="1"/>
  <c r="G30" i="1"/>
  <c r="J30" i="1"/>
  <c r="I30" i="1"/>
  <c r="F30" i="1"/>
  <c r="H30" i="1"/>
  <c r="E30" i="1"/>
  <c r="D30" i="1"/>
  <c r="A30" i="1"/>
  <c r="B31" i="1"/>
  <c r="J31" i="1" a="1"/>
  <c r="D31" i="1" a="1"/>
  <c r="F31" i="1" a="1"/>
  <c r="K31" i="1" a="1"/>
  <c r="E31" i="1" a="1"/>
  <c r="H31" i="1" a="1"/>
  <c r="C31" i="1" a="1"/>
  <c r="G31" i="1" a="1"/>
  <c r="I31" i="1" a="1"/>
  <c r="I31" i="1" l="1"/>
  <c r="G31" i="1"/>
  <c r="C31" i="1"/>
  <c r="H31" i="1"/>
  <c r="E31" i="1"/>
  <c r="K31" i="1"/>
  <c r="F31" i="1"/>
  <c r="D31" i="1"/>
  <c r="J31" i="1"/>
  <c r="B32" i="1"/>
  <c r="A31" i="1"/>
  <c r="H32" i="1" a="1"/>
  <c r="I32" i="1" a="1"/>
  <c r="C32" i="1" a="1"/>
  <c r="D32" i="1" a="1"/>
  <c r="K32" i="1" a="1"/>
  <c r="E32" i="1" a="1"/>
  <c r="F32" i="1" a="1"/>
  <c r="J32" i="1" a="1"/>
  <c r="G32" i="1" a="1"/>
  <c r="G32" i="1" l="1"/>
  <c r="J32" i="1"/>
  <c r="F32" i="1"/>
  <c r="E32" i="1"/>
  <c r="K32" i="1"/>
  <c r="D32" i="1"/>
  <c r="C32" i="1"/>
  <c r="I32" i="1"/>
  <c r="H32" i="1"/>
  <c r="A32" i="1"/>
  <c r="B33" i="1"/>
  <c r="F33" i="1" a="1"/>
  <c r="G33" i="1" a="1"/>
  <c r="J33" i="1" a="1"/>
  <c r="I33" i="1" a="1"/>
  <c r="H33" i="1" a="1"/>
  <c r="K33" i="1" a="1"/>
  <c r="C33" i="1" a="1"/>
  <c r="D33" i="1" a="1"/>
  <c r="E33" i="1" a="1"/>
  <c r="E33" i="1" l="1"/>
  <c r="D33" i="1"/>
  <c r="C33" i="1"/>
  <c r="K33" i="1"/>
  <c r="H33" i="1"/>
  <c r="I33" i="1"/>
  <c r="J33" i="1"/>
  <c r="G33" i="1"/>
  <c r="F33" i="1"/>
  <c r="B34" i="1"/>
  <c r="A33" i="1"/>
  <c r="D34" i="1" a="1"/>
  <c r="F34" i="1" a="1"/>
  <c r="H34" i="1" a="1"/>
  <c r="I34" i="1" a="1"/>
  <c r="G34" i="1" a="1"/>
  <c r="E34" i="1" a="1"/>
  <c r="K34" i="1" a="1"/>
  <c r="J34" i="1" a="1"/>
  <c r="C34" i="1" a="1"/>
  <c r="C34" i="1" l="1"/>
  <c r="J34" i="1"/>
  <c r="K34" i="1"/>
  <c r="E34" i="1"/>
  <c r="G34" i="1"/>
  <c r="I34" i="1"/>
  <c r="H34" i="1"/>
  <c r="F34" i="1"/>
  <c r="D34" i="1"/>
  <c r="A34" i="1"/>
  <c r="B35" i="1"/>
  <c r="J35" i="1" a="1"/>
  <c r="K35" i="1" a="1"/>
  <c r="E35" i="1" a="1"/>
  <c r="F35" i="1" a="1"/>
  <c r="D35" i="1" a="1"/>
  <c r="G35" i="1" a="1"/>
  <c r="C35" i="1" a="1"/>
  <c r="H35" i="1" a="1"/>
  <c r="I35" i="1" a="1"/>
  <c r="I35" i="1" l="1"/>
  <c r="H35" i="1"/>
  <c r="C35" i="1"/>
  <c r="G35" i="1"/>
  <c r="D35" i="1"/>
  <c r="F35" i="1"/>
  <c r="E35" i="1"/>
  <c r="K35" i="1"/>
  <c r="J35" i="1"/>
  <c r="B36" i="1"/>
  <c r="A35" i="1"/>
  <c r="H36" i="1" a="1"/>
  <c r="I36" i="1" a="1"/>
  <c r="K36" i="1" a="1"/>
  <c r="C36" i="1" a="1"/>
  <c r="D36" i="1" a="1"/>
  <c r="J36" i="1" a="1"/>
  <c r="E36" i="1" a="1"/>
  <c r="F36" i="1" a="1"/>
  <c r="G36" i="1" a="1"/>
  <c r="G36" i="1" l="1"/>
  <c r="F36" i="1"/>
  <c r="E36" i="1"/>
  <c r="J36" i="1"/>
  <c r="D36" i="1"/>
  <c r="C36" i="1"/>
  <c r="K36" i="1"/>
  <c r="I36" i="1"/>
  <c r="H36" i="1"/>
  <c r="A36" i="1"/>
  <c r="B37" i="1"/>
  <c r="F37" i="1" a="1"/>
  <c r="G37" i="1" a="1"/>
  <c r="I37" i="1" a="1"/>
  <c r="H37" i="1" a="1"/>
  <c r="J37" i="1" a="1"/>
  <c r="C37" i="1" a="1"/>
  <c r="K37" i="1" a="1"/>
  <c r="D37" i="1" a="1"/>
  <c r="E37" i="1" a="1"/>
  <c r="E37" i="1" l="1"/>
  <c r="D37" i="1"/>
  <c r="K37" i="1"/>
  <c r="C37" i="1"/>
  <c r="J37" i="1"/>
  <c r="H37" i="1"/>
  <c r="I37" i="1"/>
  <c r="G37" i="1"/>
  <c r="F37" i="1"/>
  <c r="B38" i="1"/>
  <c r="A37" i="1"/>
  <c r="D38" i="1" a="1"/>
  <c r="G38" i="1" a="1"/>
  <c r="F38" i="1" a="1"/>
  <c r="E38" i="1" a="1"/>
  <c r="H38" i="1" a="1"/>
  <c r="I38" i="1" a="1"/>
  <c r="J38" i="1" a="1"/>
  <c r="C38" i="1" a="1"/>
  <c r="K38" i="1" a="1"/>
  <c r="K38" i="1" l="1"/>
  <c r="C38" i="1"/>
  <c r="J38" i="1"/>
  <c r="I38" i="1"/>
  <c r="H38" i="1"/>
  <c r="E38" i="1"/>
  <c r="F38" i="1"/>
  <c r="G38" i="1"/>
  <c r="D38" i="1"/>
  <c r="A38" i="1"/>
  <c r="B39" i="1"/>
  <c r="J39" i="1" a="1"/>
  <c r="K39" i="1" a="1"/>
  <c r="E39" i="1" a="1"/>
  <c r="F39" i="1" a="1"/>
  <c r="G39" i="1" a="1"/>
  <c r="H39" i="1" a="1"/>
  <c r="C39" i="1" a="1"/>
  <c r="D39" i="1" a="1"/>
  <c r="I39" i="1" a="1"/>
  <c r="I39" i="1" l="1"/>
  <c r="D39" i="1"/>
  <c r="C39" i="1"/>
  <c r="H39" i="1"/>
  <c r="G39" i="1"/>
  <c r="F39" i="1"/>
  <c r="E39" i="1"/>
  <c r="K39" i="1"/>
  <c r="J39" i="1"/>
  <c r="B40" i="1"/>
  <c r="A39" i="1"/>
  <c r="H40" i="1" a="1"/>
  <c r="J40" i="1" a="1"/>
  <c r="C40" i="1" a="1"/>
  <c r="K40" i="1" a="1"/>
  <c r="D40" i="1" a="1"/>
  <c r="E40" i="1" a="1"/>
  <c r="I40" i="1" a="1"/>
  <c r="F40" i="1" a="1"/>
  <c r="G40" i="1" a="1"/>
  <c r="G40" i="1" l="1"/>
  <c r="F40" i="1"/>
  <c r="I40" i="1"/>
  <c r="E40" i="1"/>
  <c r="D40" i="1"/>
  <c r="K40" i="1"/>
  <c r="C40" i="1"/>
  <c r="J40" i="1"/>
  <c r="H40" i="1"/>
  <c r="B41" i="1"/>
  <c r="A40" i="1"/>
  <c r="F41" i="1" a="1"/>
  <c r="G41" i="1" a="1"/>
  <c r="H41" i="1" a="1"/>
  <c r="I41" i="1" a="1"/>
  <c r="J41" i="1" a="1"/>
  <c r="C41" i="1" a="1"/>
  <c r="K41" i="1" a="1"/>
  <c r="D41" i="1" a="1"/>
  <c r="E41" i="1" a="1"/>
  <c r="E41" i="1" l="1"/>
  <c r="D41" i="1"/>
  <c r="K41" i="1"/>
  <c r="C41" i="1"/>
  <c r="J41" i="1"/>
  <c r="I41" i="1"/>
  <c r="H41" i="1"/>
  <c r="G41" i="1"/>
  <c r="F41" i="1"/>
  <c r="B42" i="1"/>
  <c r="A41" i="1"/>
  <c r="D42" i="1" a="1"/>
  <c r="E42" i="1" a="1"/>
  <c r="G42" i="1" a="1"/>
  <c r="H42" i="1" a="1"/>
  <c r="F42" i="1" a="1"/>
  <c r="I42" i="1" a="1"/>
  <c r="J42" i="1" a="1"/>
  <c r="C42" i="1" a="1"/>
  <c r="K42" i="1" a="1"/>
  <c r="K42" i="1" l="1"/>
  <c r="C42" i="1"/>
  <c r="J42" i="1"/>
  <c r="I42" i="1"/>
  <c r="F42" i="1"/>
  <c r="H42" i="1"/>
  <c r="G42" i="1"/>
  <c r="E42" i="1"/>
  <c r="D42" i="1"/>
  <c r="A42" i="1"/>
  <c r="B43" i="1"/>
  <c r="J43" i="1" a="1"/>
  <c r="D43" i="1" a="1"/>
  <c r="E43" i="1" a="1"/>
  <c r="K43" i="1" a="1"/>
  <c r="F43" i="1" a="1"/>
  <c r="G43" i="1" a="1"/>
  <c r="H43" i="1" a="1"/>
  <c r="C43" i="1" a="1"/>
  <c r="I43" i="1" a="1"/>
  <c r="I43" i="1" l="1"/>
  <c r="C43" i="1"/>
  <c r="H43" i="1"/>
  <c r="G43" i="1"/>
  <c r="F43" i="1"/>
  <c r="K43" i="1"/>
  <c r="E43" i="1"/>
  <c r="D43" i="1"/>
  <c r="J43" i="1"/>
  <c r="B44" i="1"/>
  <c r="A43" i="1"/>
  <c r="H44" i="1" a="1"/>
  <c r="C44" i="1" a="1"/>
  <c r="K44" i="1" a="1"/>
  <c r="D44" i="1" a="1"/>
  <c r="I44" i="1" a="1"/>
  <c r="E44" i="1" a="1"/>
  <c r="F44" i="1" a="1"/>
  <c r="J44" i="1" a="1"/>
  <c r="G44" i="1" a="1"/>
  <c r="G44" i="1" l="1"/>
  <c r="J44" i="1"/>
  <c r="F44" i="1"/>
  <c r="E44" i="1"/>
  <c r="I44" i="1"/>
  <c r="D44" i="1"/>
  <c r="K44" i="1"/>
  <c r="C44" i="1"/>
  <c r="H44" i="1"/>
  <c r="A44" i="1"/>
  <c r="B45" i="1"/>
  <c r="F45" i="1" a="1"/>
  <c r="G45" i="1" a="1"/>
  <c r="I45" i="1" a="1"/>
  <c r="J45" i="1" a="1"/>
  <c r="K45" i="1" a="1"/>
  <c r="C45" i="1" a="1"/>
  <c r="H45" i="1" a="1"/>
  <c r="D45" i="1" a="1"/>
  <c r="E45" i="1" a="1"/>
  <c r="E45" i="1" l="1"/>
  <c r="D45" i="1"/>
  <c r="H45" i="1"/>
  <c r="C45" i="1"/>
  <c r="K45" i="1"/>
  <c r="J45" i="1"/>
  <c r="I45" i="1"/>
  <c r="G45" i="1"/>
  <c r="F45" i="1"/>
  <c r="B46" i="1"/>
  <c r="A45" i="1"/>
  <c r="D46" i="1" a="1"/>
  <c r="E46" i="1" a="1"/>
  <c r="G46" i="1" a="1"/>
  <c r="H46" i="1" a="1"/>
  <c r="F46" i="1" a="1"/>
  <c r="I46" i="1" a="1"/>
  <c r="J46" i="1" a="1"/>
  <c r="C46" i="1" a="1"/>
  <c r="K46" i="1" a="1"/>
  <c r="K46" i="1" l="1"/>
  <c r="C46" i="1"/>
  <c r="J46" i="1"/>
  <c r="I46" i="1"/>
  <c r="F46" i="1"/>
  <c r="H46" i="1"/>
  <c r="G46" i="1"/>
  <c r="E46" i="1"/>
  <c r="D46" i="1"/>
  <c r="A46" i="1"/>
  <c r="B47" i="1"/>
  <c r="J47" i="1" a="1"/>
  <c r="K47" i="1" a="1"/>
  <c r="C47" i="1" a="1"/>
  <c r="E47" i="1" a="1"/>
  <c r="D47" i="1" a="1"/>
  <c r="F47" i="1" a="1"/>
  <c r="G47" i="1" a="1"/>
  <c r="H47" i="1" a="1"/>
  <c r="I47" i="1" a="1"/>
  <c r="I47" i="1" l="1"/>
  <c r="H47" i="1"/>
  <c r="G47" i="1"/>
  <c r="F47" i="1"/>
  <c r="D47" i="1"/>
  <c r="E47" i="1"/>
  <c r="C47" i="1"/>
  <c r="K47" i="1"/>
  <c r="J47" i="1"/>
  <c r="B48" i="1"/>
  <c r="A47" i="1"/>
  <c r="H48" i="1" a="1"/>
  <c r="I48" i="1" a="1"/>
  <c r="J48" i="1" a="1"/>
  <c r="C48" i="1" a="1"/>
  <c r="K48" i="1" a="1"/>
  <c r="D48" i="1" a="1"/>
  <c r="E48" i="1" a="1"/>
  <c r="F48" i="1" a="1"/>
  <c r="G48" i="1" a="1"/>
  <c r="G48" i="1" l="1"/>
  <c r="F48" i="1"/>
  <c r="E48" i="1"/>
  <c r="D48" i="1"/>
  <c r="K48" i="1"/>
  <c r="C48" i="1"/>
  <c r="J48" i="1"/>
  <c r="I48" i="1"/>
  <c r="H48" i="1"/>
  <c r="B49" i="1"/>
  <c r="A48" i="1"/>
  <c r="F49" i="1" a="1"/>
  <c r="G49" i="1" a="1"/>
  <c r="H49" i="1" a="1"/>
  <c r="I49" i="1" a="1"/>
  <c r="J49" i="1" a="1"/>
  <c r="C49" i="1" a="1"/>
  <c r="K49" i="1" a="1"/>
  <c r="D49" i="1" a="1"/>
  <c r="E49" i="1" a="1"/>
  <c r="E49" i="1" l="1"/>
  <c r="D49" i="1"/>
  <c r="K49" i="1"/>
  <c r="C49" i="1"/>
  <c r="J49" i="1"/>
  <c r="I49" i="1"/>
  <c r="H49" i="1"/>
  <c r="G49" i="1"/>
  <c r="F49" i="1"/>
  <c r="B50" i="1"/>
  <c r="A49" i="1"/>
  <c r="E50" i="1" a="1"/>
  <c r="F50" i="1" a="1"/>
  <c r="G50" i="1" a="1"/>
  <c r="D50" i="1" a="1"/>
  <c r="H50" i="1" a="1"/>
  <c r="I50" i="1" a="1"/>
  <c r="J50" i="1" a="1"/>
  <c r="C50" i="1" a="1"/>
  <c r="K50" i="1" a="1"/>
  <c r="K50" i="1" l="1"/>
  <c r="C50" i="1"/>
  <c r="J50" i="1"/>
  <c r="I50" i="1"/>
  <c r="H50" i="1"/>
  <c r="D50" i="1"/>
  <c r="G50" i="1"/>
  <c r="F50" i="1"/>
  <c r="E50" i="1"/>
  <c r="A50" i="1"/>
  <c r="B51" i="1"/>
  <c r="C51" i="1" a="1"/>
  <c r="K51" i="1" a="1"/>
  <c r="J51" i="1" a="1"/>
  <c r="D51" i="1" a="1"/>
  <c r="E51" i="1" a="1"/>
  <c r="F51" i="1" a="1"/>
  <c r="G51" i="1" a="1"/>
  <c r="H51" i="1" a="1"/>
  <c r="I51" i="1" a="1"/>
  <c r="I51" i="1" l="1"/>
  <c r="H51" i="1"/>
  <c r="G51" i="1"/>
  <c r="F51" i="1"/>
  <c r="E51" i="1"/>
  <c r="D51" i="1"/>
  <c r="J51" i="1"/>
  <c r="K51" i="1"/>
  <c r="C51" i="1"/>
  <c r="A51" i="1"/>
  <c r="B52" i="1"/>
  <c r="H52" i="1" a="1"/>
  <c r="I52" i="1" a="1"/>
  <c r="J52" i="1" a="1"/>
  <c r="C52" i="1" a="1"/>
  <c r="K52" i="1" a="1"/>
  <c r="D52" i="1" a="1"/>
  <c r="E52" i="1" a="1"/>
  <c r="F52" i="1" a="1"/>
  <c r="G52" i="1" a="1"/>
  <c r="G52" i="1" l="1"/>
  <c r="F52" i="1"/>
  <c r="E52" i="1"/>
  <c r="D52" i="1"/>
  <c r="K52" i="1"/>
  <c r="C52" i="1"/>
  <c r="J52" i="1"/>
  <c r="I52" i="1"/>
  <c r="H52" i="1"/>
  <c r="B53" i="1"/>
  <c r="A52" i="1"/>
  <c r="F53" i="1" a="1"/>
  <c r="G53" i="1" a="1"/>
  <c r="H53" i="1" a="1"/>
  <c r="I53" i="1" a="1"/>
  <c r="J53" i="1" a="1"/>
  <c r="C53" i="1" a="1"/>
  <c r="K53" i="1" a="1"/>
  <c r="D53" i="1" a="1"/>
  <c r="E53" i="1" a="1"/>
  <c r="E53" i="1" l="1"/>
  <c r="D53" i="1"/>
  <c r="K53" i="1"/>
  <c r="C53" i="1"/>
  <c r="J53" i="1"/>
  <c r="I53" i="1"/>
  <c r="H53" i="1"/>
  <c r="G53" i="1"/>
  <c r="F53" i="1"/>
  <c r="B54" i="1"/>
  <c r="A53" i="1"/>
  <c r="E54" i="1" a="1"/>
  <c r="F54" i="1" a="1"/>
  <c r="D54" i="1" a="1"/>
  <c r="G54" i="1" a="1"/>
  <c r="H54" i="1" a="1"/>
  <c r="I54" i="1" a="1"/>
  <c r="J54" i="1" a="1"/>
  <c r="C54" i="1" a="1"/>
  <c r="K54" i="1" a="1"/>
  <c r="K54" i="1" l="1"/>
  <c r="C54" i="1"/>
  <c r="J54" i="1"/>
  <c r="I54" i="1"/>
  <c r="H54" i="1"/>
  <c r="G54" i="1"/>
  <c r="D54" i="1"/>
  <c r="F54" i="1"/>
  <c r="E54" i="1"/>
  <c r="A54" i="1"/>
  <c r="B55" i="1"/>
  <c r="C55" i="1" a="1"/>
  <c r="K55" i="1" a="1"/>
  <c r="D55" i="1" a="1"/>
  <c r="E55" i="1" a="1"/>
  <c r="J55" i="1" a="1"/>
  <c r="F55" i="1" a="1"/>
  <c r="G55" i="1" a="1"/>
  <c r="H55" i="1" a="1"/>
  <c r="I55" i="1" a="1"/>
  <c r="I55" i="1" l="1"/>
  <c r="H55" i="1"/>
  <c r="G55" i="1"/>
  <c r="F55" i="1"/>
  <c r="J55" i="1"/>
  <c r="E55" i="1"/>
  <c r="D55" i="1"/>
  <c r="K55" i="1"/>
  <c r="C55" i="1"/>
  <c r="B56" i="1"/>
  <c r="A55" i="1"/>
  <c r="I56" i="1" a="1"/>
  <c r="J56" i="1" a="1"/>
  <c r="C56" i="1" a="1"/>
  <c r="K56" i="1" a="1"/>
  <c r="H56" i="1" a="1"/>
  <c r="D56" i="1" a="1"/>
  <c r="E56" i="1" a="1"/>
  <c r="F56" i="1" a="1"/>
  <c r="G56" i="1" a="1"/>
  <c r="G56" i="1" l="1"/>
  <c r="F56" i="1"/>
  <c r="E56" i="1"/>
  <c r="D56" i="1"/>
  <c r="H56" i="1"/>
  <c r="K56" i="1"/>
  <c r="C56" i="1"/>
  <c r="J56" i="1"/>
  <c r="I56" i="1"/>
  <c r="B57" i="1"/>
  <c r="A56" i="1"/>
  <c r="G57" i="1" a="1"/>
  <c r="H57" i="1" a="1"/>
  <c r="I57" i="1" a="1"/>
  <c r="J57" i="1" a="1"/>
  <c r="C57" i="1" a="1"/>
  <c r="K57" i="1" a="1"/>
  <c r="F57" i="1" a="1"/>
  <c r="D57" i="1" a="1"/>
  <c r="E57" i="1" a="1"/>
  <c r="E57" i="1" l="1"/>
  <c r="D57" i="1"/>
  <c r="F57" i="1"/>
  <c r="K57" i="1"/>
  <c r="C57" i="1"/>
  <c r="J57" i="1"/>
  <c r="I57" i="1"/>
  <c r="H57" i="1"/>
  <c r="G57" i="1"/>
  <c r="B58" i="1"/>
  <c r="A57" i="1"/>
  <c r="E58" i="1" a="1"/>
  <c r="F58" i="1" a="1"/>
  <c r="G58" i="1" a="1"/>
  <c r="H58" i="1" a="1"/>
  <c r="D58" i="1" a="1"/>
  <c r="I58" i="1" a="1"/>
  <c r="J58" i="1" a="1"/>
  <c r="C58" i="1" a="1"/>
  <c r="K58" i="1" a="1"/>
  <c r="K58" i="1" l="1"/>
  <c r="C58" i="1"/>
  <c r="J58" i="1"/>
  <c r="I58" i="1"/>
  <c r="D58" i="1"/>
  <c r="H58" i="1"/>
  <c r="G58" i="1"/>
  <c r="F58" i="1"/>
  <c r="E58" i="1"/>
  <c r="A58" i="1"/>
  <c r="B59" i="1"/>
  <c r="J59" i="1" a="1"/>
  <c r="C59" i="1" a="1"/>
  <c r="K59" i="1" a="1"/>
  <c r="D59" i="1" a="1"/>
  <c r="E59" i="1" a="1"/>
  <c r="F59" i="1" a="1"/>
  <c r="G59" i="1" a="1"/>
  <c r="H59" i="1" a="1"/>
  <c r="I59" i="1" a="1"/>
  <c r="I59" i="1" l="1"/>
  <c r="H59" i="1"/>
  <c r="G59" i="1"/>
  <c r="F59" i="1"/>
  <c r="E59" i="1"/>
  <c r="D59" i="1"/>
  <c r="K59" i="1"/>
  <c r="C59" i="1"/>
  <c r="J59" i="1"/>
  <c r="B60" i="1"/>
  <c r="A59" i="1"/>
  <c r="I60" i="1" a="1"/>
  <c r="J60" i="1" a="1"/>
  <c r="C60" i="1" a="1"/>
  <c r="K60" i="1" a="1"/>
  <c r="D60" i="1" a="1"/>
  <c r="E60" i="1" a="1"/>
  <c r="F60" i="1" a="1"/>
  <c r="H60" i="1" a="1"/>
  <c r="G60" i="1" a="1"/>
  <c r="G60" i="1" l="1"/>
  <c r="H60" i="1"/>
  <c r="F60" i="1"/>
  <c r="E60" i="1"/>
  <c r="D60" i="1"/>
  <c r="K60" i="1"/>
  <c r="C60" i="1"/>
  <c r="J60" i="1"/>
  <c r="I60" i="1"/>
  <c r="B61" i="1"/>
  <c r="A60" i="1"/>
  <c r="G61" i="1" a="1"/>
  <c r="H61" i="1" a="1"/>
  <c r="I61" i="1" a="1"/>
  <c r="J61" i="1" a="1"/>
  <c r="C61" i="1" a="1"/>
  <c r="K61" i="1" a="1"/>
  <c r="D61" i="1" a="1"/>
  <c r="F61" i="1" a="1"/>
  <c r="E61" i="1" a="1"/>
  <c r="E61" i="1" l="1"/>
  <c r="F61" i="1"/>
  <c r="D61" i="1"/>
  <c r="K61" i="1"/>
  <c r="C61" i="1"/>
  <c r="J61" i="1"/>
  <c r="I61" i="1"/>
  <c r="H61" i="1"/>
  <c r="G61" i="1"/>
  <c r="B62" i="1"/>
  <c r="A61" i="1"/>
  <c r="D62" i="1" a="1"/>
  <c r="E62" i="1" a="1"/>
  <c r="F62" i="1" a="1"/>
  <c r="G62" i="1" a="1"/>
  <c r="H62" i="1" a="1"/>
  <c r="I62" i="1" a="1"/>
  <c r="J62" i="1" a="1"/>
  <c r="C62" i="1" a="1"/>
  <c r="K62" i="1" a="1"/>
  <c r="K62" i="1" l="1"/>
  <c r="C62" i="1"/>
  <c r="J62" i="1"/>
  <c r="I62" i="1"/>
  <c r="H62" i="1"/>
  <c r="G62" i="1"/>
  <c r="F62" i="1"/>
  <c r="E62" i="1"/>
  <c r="D62" i="1"/>
  <c r="A6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<sst xmlns="http://schemas.openxmlformats.org/spreadsheetml/2006/main" count="23" uniqueCount="19">
  <si>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u</t>
  </si>
  <si>
    <t>expint(u)</t>
  </si>
  <si>
    <t>wtheis(u)</t>
  </si>
  <si>
    <t>wthan(u,rho)</t>
  </si>
  <si>
    <t>tau=1/u</t>
  </si>
  <si>
    <t>Whan(u,0.01)</t>
  </si>
  <si>
    <t>Whan(u,0.03)</t>
  </si>
  <si>
    <t>Whan(u,0.1)</t>
  </si>
  <si>
    <t>Whan(u,0.3)</t>
  </si>
  <si>
    <t>Whan(u,1)</t>
  </si>
  <si>
    <t>Whan(u,3)</t>
  </si>
  <si>
    <t>Whan(u,0)</t>
  </si>
  <si>
    <t>The workbook/sheet demonstrates the functions expint(u), wtheis(u) and whan(u,rho) and shows the graphs (called type curves)</t>
  </si>
  <si>
    <t>expint(u), wtheis(u) and Whan(u,rho=0) should be the same, all  Theis.</t>
  </si>
  <si>
    <t>expint(u) and Whan(u,rho) are implented by integration along a log-scale (see Vbasic)</t>
  </si>
  <si>
    <t>wtheis(u) implemnts Theis well funciton by using its power series (see Vbasic)</t>
  </si>
  <si>
    <t>With these functions on board (see developer tab, vbasic, module1 for the implementation) you just use them as ordinary excel functions</t>
  </si>
  <si>
    <t>as is demonstrated below.</t>
  </si>
  <si>
    <t>Theo Olsthoorn, for IHE transient course 2006-2023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</si>
</sst>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1" fontId="1" fillId="0" borderId="0" xfId="0" applyNumberFormat="1" applyFont="1"/>
    <xf numFmtId="11" fontId="1" fillId="0" borderId="1" xfId="0" applyNumberFormat="1" applyFont="1" applyBorder="1"/>
    <xf numFmtId="11" fontId="0" fillId="0" borderId="0" xfId="0" applyNumberFormat="1"/>
    <xf numFmtId="11" fontId="1" fillId="0" borderId="2" xfId="0" applyNumberFormat="1" applyFont="1" applyBorder="1"/>
    <xf numFmtId="11" fontId="0" fillId="0" borderId="2" xfId="0" applyNumberFormat="1" applyBorder="1"/>
    <xf numFmtId="11" fontId="0" fillId="0" borderId="0" xfId="0" applyNumberFormat="1" applyBorder="1"/>
    <xf numFmtId="11" fontId="1" fillId="0" borderId="3" xfId="0" applyNumberFormat="1" applyFont="1" applyBorder="1"/>
    <xf numFmtId="11" fontId="0" fillId="0" borderId="3" xfId="0" applyNumberFormat="1" applyBorder="1"/>
  </cellXfs>
  <cellStyles count="1">
    <cellStyle name="Normal" xfId="0" builtinId="0"/>
  </cellStyles>
  <dxfs count="22"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  <dxf>
      <numFmt numFmtId="164" formatCode="0.00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Theis and Hantush type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Sheet1!$C$13</c:f>
              <c:strCache>
                <c:ptCount val="1"/>
                <c:pt idx="0">
                  <c:v>expint(u)</c:v>
                </c:pt>
              </c:strCache>
            </c:strRef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Sheet1!$C$14:$C$62</c:f>
              <c:numCache>
                <c:formatCode>0.00E+00</c:formatCode>
                <c:ptCount val="49"/>
                <c:pt idx="0">
                  <c:v>10.935719800002239</c:v>
                </c:pt>
                <c:pt idx="1">
                  <c:v>10.647899998558946</c:v>
                </c:pt>
                <c:pt idx="2">
                  <c:v>10.360081309461327</c:v>
                </c:pt>
                <c:pt idx="3">
                  <c:v>10.072264103693772</c:v>
                </c:pt>
                <c:pt idx="4">
                  <c:v>9.7844488759667065</c:v>
                </c:pt>
                <c:pt idx="5">
                  <c:v>9.4966362859776492</c:v>
                </c:pt>
                <c:pt idx="6">
                  <c:v>9.2088272134309843</c:v>
                </c:pt>
                <c:pt idx="7">
                  <c:v>8.9210228314017446</c:v>
                </c:pt>
                <c:pt idx="8">
                  <c:v>8.6332247041582431</c:v>
                </c:pt>
                <c:pt idx="9">
                  <c:v>8.3454349175926161</c:v>
                </c:pt>
                <c:pt idx="10">
                  <c:v>8.057656253121074</c:v>
                </c:pt>
                <c:pt idx="11">
                  <c:v>7.7698924195269594</c:v>
                </c:pt>
                <c:pt idx="12">
                  <c:v>7.4821483620283367</c:v>
                </c:pt>
                <c:pt idx="13">
                  <c:v>7.1944306742477835</c:v>
                </c:pt>
                <c:pt idx="14">
                  <c:v>6.9067481472655823</c:v>
                </c:pt>
                <c:pt idx="15">
                  <c:v>6.6191125012301919</c:v>
                </c:pt>
                <c:pt idx="16">
                  <c:v>6.3315393599737693</c:v>
                </c:pt>
                <c:pt idx="17">
                  <c:v>6.0440495489015351</c:v>
                </c:pt>
                <c:pt idx="18">
                  <c:v>5.7566708225887977</c:v>
                </c:pt>
                <c:pt idx="19">
                  <c:v>5.4694401629434841</c:v>
                </c:pt>
                <c:pt idx="20">
                  <c:v>5.1824068338650724</c:v>
                </c:pt>
                <c:pt idx="21">
                  <c:v>4.895636436961242</c:v>
                </c:pt>
                <c:pt idx="22">
                  <c:v>4.6092162884623793</c:v>
                </c:pt>
                <c:pt idx="23">
                  <c:v>4.3232625336536765</c:v>
                </c:pt>
                <c:pt idx="24">
                  <c:v>4.0379295352862075</c:v>
                </c:pt>
                <c:pt idx="25">
                  <c:v>3.7534222183858037</c:v>
                </c:pt>
                <c:pt idx="26">
                  <c:v>3.470012223581306</c:v>
                </c:pt>
                <c:pt idx="27">
                  <c:v>3.1880589040113518</c:v>
                </c:pt>
                <c:pt idx="28">
                  <c:v>2.9080363699882179</c:v>
                </c:pt>
                <c:pt idx="29">
                  <c:v>2.6305678833641544</c:v>
                </c:pt>
                <c:pt idx="30">
                  <c:v>2.3564688190425689</c:v>
                </c:pt>
                <c:pt idx="31">
                  <c:v>2.0867989445467994</c:v>
                </c:pt>
                <c:pt idx="32">
                  <c:v>1.822923581404589</c:v>
                </c:pt>
                <c:pt idx="33">
                  <c:v>1.5665807678399253</c:v>
                </c:pt>
                <c:pt idx="34">
                  <c:v>1.3199470658562078</c:v>
                </c:pt>
                <c:pt idx="35">
                  <c:v>1.0856871908561208</c:v>
                </c:pt>
                <c:pt idx="36">
                  <c:v>0.86696138911105225</c:v>
                </c:pt>
                <c:pt idx="37">
                  <c:v>0.66734977352798808</c:v>
                </c:pt>
                <c:pt idx="38">
                  <c:v>0.49063819830821315</c:v>
                </c:pt>
                <c:pt idx="39">
                  <c:v>0.34040597433656344</c:v>
                </c:pt>
                <c:pt idx="40">
                  <c:v>0.21938240156004457</c:v>
                </c:pt>
                <c:pt idx="41">
                  <c:v>0.12862565928754674</c:v>
                </c:pt>
                <c:pt idx="42">
                  <c:v>6.6740668530503214E-2</c:v>
                </c:pt>
                <c:pt idx="43">
                  <c:v>2.9543654966659064E-2</c:v>
                </c:pt>
                <c:pt idx="44">
                  <c:v>1.0625054705726902E-2</c:v>
                </c:pt>
                <c:pt idx="45">
                  <c:v>2.9085631345259215E-3</c:v>
                </c:pt>
                <c:pt idx="46">
                  <c:v>5.555063139274217E-4</c:v>
                </c:pt>
                <c:pt idx="47">
                  <c:v>6.5891656953031576E-5</c:v>
                </c:pt>
                <c:pt idx="48">
                  <c:v>4.1550776576431978E-6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8C-3745-8F1E-F90DE2EDB591}"/>
            </c:ext>
          </c:extLst>
        </c:ser>
        <c:ser>
          <c:idx val="2"/>
          <c:order val="1"/>
          <c:tx>
            <c:strRef>
              <c:f>Sheet1!$D$13</c:f>
              <c:strCache>
                <c:ptCount val="1"/>
                <c:pt idx="0">
                  <c:v>wtheis(u)</c:v>
                </c:pt>
              </c:strCache>
            </c:strRef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Sheet1!$D$14:$D$62</c:f>
              <c:numCache>
                <c:formatCode>0.00E+00</c:formatCode>
                <c:ptCount val="49"/>
                <c:pt idx="0">
                  <c:v>10.935719464945228</c:v>
                </c:pt>
                <c:pt idx="1">
                  <c:v>10.647899663515837</c:v>
                </c:pt>
                <c:pt idx="2">
                  <c:v>10.360080974436762</c:v>
                </c:pt>
                <c:pt idx="3">
                  <c:v>10.072263768693931</c:v>
                </c:pt>
                <c:pt idx="4">
                  <c:v>9.7844485409998097</c:v>
                </c:pt>
                <c:pt idx="5">
                  <c:v>9.4966359510547242</c:v>
                </c:pt>
                <c:pt idx="6">
                  <c:v>9.2088268785666543</c:v>
                </c:pt>
                <c:pt idx="7">
                  <c:v>8.9210224966155405</c:v>
                </c:pt>
                <c:pt idx="8">
                  <c:v>8.6332243694762365</c:v>
                </c:pt>
                <c:pt idx="9">
                  <c:v>8.3454345830495757</c:v>
                </c:pt>
                <c:pt idx="10">
                  <c:v>8.0576559187632935</c:v>
                </c:pt>
                <c:pt idx="11">
                  <c:v>7.7698920854161901</c:v>
                </c:pt>
                <c:pt idx="12">
                  <c:v>7.4821480282469333</c:v>
                </c:pt>
                <c:pt idx="13">
                  <c:v>7.1944303409055133</c:v>
                </c:pt>
                <c:pt idx="14">
                  <c:v>6.9067478145087771</c:v>
                </c:pt>
                <c:pt idx="15">
                  <c:v>6.6191121692538184</c:v>
                </c:pt>
                <c:pt idx="16">
                  <c:v>6.3315390290376818</c:v>
                </c:pt>
                <c:pt idx="17">
                  <c:v>6.0440492193519013</c:v>
                </c:pt>
                <c:pt idx="18">
                  <c:v>5.7566704948865572</c:v>
                </c:pt>
                <c:pt idx="19">
                  <c:v>5.469439837702236</c:v>
                </c:pt>
                <c:pt idx="20">
                  <c:v>5.1824065119010623</c:v>
                </c:pt>
                <c:pt idx="21">
                  <c:v>4.8956361193594047</c:v>
                </c:pt>
                <c:pt idx="22">
                  <c:v>4.609215976663271</c:v>
                </c:pt>
                <c:pt idx="23">
                  <c:v>4.3232622295671854</c:v>
                </c:pt>
                <c:pt idx="24">
                  <c:v>4.037929241439481</c:v>
                </c:pt>
                <c:pt idx="25">
                  <c:v>3.7534219381145015</c:v>
                </c:pt>
                <c:pt idx="26">
                  <c:v>3.4700119612716107</c:v>
                </c:pt>
                <c:pt idx="27">
                  <c:v>3.188058665404343</c:v>
                </c:pt>
                <c:pt idx="28">
                  <c:v>2.9080361625497138</c:v>
                </c:pt>
                <c:pt idx="29">
                  <c:v>2.6305677167179646</c:v>
                </c:pt>
                <c:pt idx="30">
                  <c:v>2.356468705439855</c:v>
                </c:pt>
                <c:pt idx="31">
                  <c:v>2.0867988993292985</c:v>
                </c:pt>
                <c:pt idx="32">
                  <c:v>1.8229236233181203</c:v>
                </c:pt>
                <c:pt idx="33">
                  <c:v>1.5665809189864788</c:v>
                </c:pt>
                <c:pt idx="34">
                  <c:v>1.3199473509988759</c:v>
                </c:pt>
                <c:pt idx="35">
                  <c:v>1.0856876352605755</c:v>
                </c:pt>
                <c:pt idx="36">
                  <c:v>0.86696201440414833</c:v>
                </c:pt>
                <c:pt idx="37">
                  <c:v>0.6673505908249604</c:v>
                </c:pt>
                <c:pt idx="38">
                  <c:v>0.49063919855809307</c:v>
                </c:pt>
                <c:pt idx="39">
                  <c:v>0.34040711524364775</c:v>
                </c:pt>
                <c:pt idx="40">
                  <c:v>0.21938359945944455</c:v>
                </c:pt>
                <c:pt idx="41">
                  <c:v>0.1286267880755716</c:v>
                </c:pt>
                <c:pt idx="42">
                  <c:v>6.674158485251877E-2</c:v>
                </c:pt>
                <c:pt idx="43">
                  <c:v>2.9544241910220228E-2</c:v>
                </c:pt>
                <c:pt idx="44">
                  <c:v>1.0625276152645228E-2</c:v>
                </c:pt>
                <c:pt idx="45">
                  <c:v>2.908489014773823E-3</c:v>
                </c:pt>
                <c:pt idx="46">
                  <c:v>5.5525836030815873E-4</c:v>
                </c:pt>
                <c:pt idx="47">
                  <c:v>6.5569597344649746E-5</c:v>
                </c:pt>
                <c:pt idx="48">
                  <c:v>3.8258921529791697E-6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8C-3745-8F1E-F90DE2EDB591}"/>
            </c:ext>
          </c:extLst>
        </c:ser>
        <c:ser>
          <c:idx val="3"/>
          <c:order val="2"/>
          <c:tx>
            <c:strRef>
              <c:f>Sheet1!$E$13</c:f>
              <c:strCache>
                <c:ptCount val="1"/>
                <c:pt idx="0">
                  <c:v>Whan(u,0)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Sheet1!$E$14:$E$62</c:f>
              <c:numCache>
                <c:formatCode>0.00E+00</c:formatCode>
                <c:ptCount val="49"/>
                <c:pt idx="0">
                  <c:v>10.935719800002239</c:v>
                </c:pt>
                <c:pt idx="1">
                  <c:v>10.647899998558946</c:v>
                </c:pt>
                <c:pt idx="2">
                  <c:v>10.360081309461327</c:v>
                </c:pt>
                <c:pt idx="3">
                  <c:v>10.072264103693772</c:v>
                </c:pt>
                <c:pt idx="4">
                  <c:v>9.7844488759667065</c:v>
                </c:pt>
                <c:pt idx="5">
                  <c:v>9.4966362859776492</c:v>
                </c:pt>
                <c:pt idx="6">
                  <c:v>9.2088272134309843</c:v>
                </c:pt>
                <c:pt idx="7">
                  <c:v>8.9210228314017446</c:v>
                </c:pt>
                <c:pt idx="8">
                  <c:v>8.6332247041582431</c:v>
                </c:pt>
                <c:pt idx="9">
                  <c:v>8.3454349175926161</c:v>
                </c:pt>
                <c:pt idx="10">
                  <c:v>8.057656253121074</c:v>
                </c:pt>
                <c:pt idx="11">
                  <c:v>7.7698924195269594</c:v>
                </c:pt>
                <c:pt idx="12">
                  <c:v>7.4821483620283367</c:v>
                </c:pt>
                <c:pt idx="13">
                  <c:v>7.1944306742477835</c:v>
                </c:pt>
                <c:pt idx="14">
                  <c:v>6.9067481472655823</c:v>
                </c:pt>
                <c:pt idx="15">
                  <c:v>6.6191125012301919</c:v>
                </c:pt>
                <c:pt idx="16">
                  <c:v>6.3315393599737693</c:v>
                </c:pt>
                <c:pt idx="17">
                  <c:v>6.0440495489015351</c:v>
                </c:pt>
                <c:pt idx="18">
                  <c:v>5.7566708225887977</c:v>
                </c:pt>
                <c:pt idx="19">
                  <c:v>5.4694401629434841</c:v>
                </c:pt>
                <c:pt idx="20">
                  <c:v>5.1824068338650724</c:v>
                </c:pt>
                <c:pt idx="21">
                  <c:v>4.895636436961242</c:v>
                </c:pt>
                <c:pt idx="22">
                  <c:v>4.6092162884623793</c:v>
                </c:pt>
                <c:pt idx="23">
                  <c:v>4.3232625336536765</c:v>
                </c:pt>
                <c:pt idx="24">
                  <c:v>4.0379295352862075</c:v>
                </c:pt>
                <c:pt idx="25">
                  <c:v>3.7534222183858037</c:v>
                </c:pt>
                <c:pt idx="26">
                  <c:v>3.470012223581306</c:v>
                </c:pt>
                <c:pt idx="27">
                  <c:v>3.1880589040113518</c:v>
                </c:pt>
                <c:pt idx="28">
                  <c:v>2.9080363699882179</c:v>
                </c:pt>
                <c:pt idx="29">
                  <c:v>2.6305678833641544</c:v>
                </c:pt>
                <c:pt idx="30">
                  <c:v>2.3564688190425689</c:v>
                </c:pt>
                <c:pt idx="31">
                  <c:v>2.0867989445467994</c:v>
                </c:pt>
                <c:pt idx="32">
                  <c:v>1.822923581404589</c:v>
                </c:pt>
                <c:pt idx="33">
                  <c:v>1.5665807678399253</c:v>
                </c:pt>
                <c:pt idx="34">
                  <c:v>1.3199470658562078</c:v>
                </c:pt>
                <c:pt idx="35">
                  <c:v>1.0856871908561208</c:v>
                </c:pt>
                <c:pt idx="36">
                  <c:v>0.86696138911105225</c:v>
                </c:pt>
                <c:pt idx="37">
                  <c:v>0.66734977352798808</c:v>
                </c:pt>
                <c:pt idx="38">
                  <c:v>0.49063819830821315</c:v>
                </c:pt>
                <c:pt idx="39">
                  <c:v>0.34040597433656344</c:v>
                </c:pt>
                <c:pt idx="40">
                  <c:v>0.21938240156004457</c:v>
                </c:pt>
                <c:pt idx="41">
                  <c:v>0.12862565928754674</c:v>
                </c:pt>
                <c:pt idx="42">
                  <c:v>6.6740668530503214E-2</c:v>
                </c:pt>
                <c:pt idx="43">
                  <c:v>2.9543654966659064E-2</c:v>
                </c:pt>
                <c:pt idx="44">
                  <c:v>1.0625054705726902E-2</c:v>
                </c:pt>
                <c:pt idx="45">
                  <c:v>2.9085631345259215E-3</c:v>
                </c:pt>
                <c:pt idx="46">
                  <c:v>5.555063139274217E-4</c:v>
                </c:pt>
                <c:pt idx="47">
                  <c:v>6.5891656953031576E-5</c:v>
                </c:pt>
                <c:pt idx="48">
                  <c:v>4.1550776576431978E-6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8C-3745-8F1E-F90DE2EDB591}"/>
            </c:ext>
          </c:extLst>
        </c:ser>
        <c:ser>
          <c:idx val="4"/>
          <c:order val="3"/>
          <c:tx>
            <c:strRef>
              <c:f>Sheet1!$F$13</c:f>
              <c:strCache>
                <c:ptCount val="1"/>
                <c:pt idx="0">
                  <c:v>Whan(u,0.01)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Sheet1!$F$14:$F$62</c:f>
              <c:numCache>
                <c:formatCode>0.00E+00</c:formatCode>
                <c:ptCount val="49"/>
                <c:pt idx="0">
                  <c:v>9.4175755954690352</c:v>
                </c:pt>
                <c:pt idx="1">
                  <c:v>9.3842591376971232</c:v>
                </c:pt>
                <c:pt idx="2">
                  <c:v>9.3272989176436347</c:v>
                </c:pt>
                <c:pt idx="3">
                  <c:v>9.2420290982993514</c:v>
                </c:pt>
                <c:pt idx="4">
                  <c:v>9.1265473061078133</c:v>
                </c:pt>
                <c:pt idx="5">
                  <c:v>8.9815140684094228</c:v>
                </c:pt>
                <c:pt idx="6">
                  <c:v>8.8094174015605127</c:v>
                </c:pt>
                <c:pt idx="7">
                  <c:v>8.6137367937444616</c:v>
                </c:pt>
                <c:pt idx="8">
                  <c:v>8.3982594081121444</c:v>
                </c:pt>
                <c:pt idx="9">
                  <c:v>8.1666263945961752</c:v>
                </c:pt>
                <c:pt idx="10">
                  <c:v>7.9220868279132404</c:v>
                </c:pt>
                <c:pt idx="11">
                  <c:v>7.667401371669655</c:v>
                </c:pt>
                <c:pt idx="12">
                  <c:v>7.4048382521710643</c:v>
                </c:pt>
                <c:pt idx="13">
                  <c:v>7.13621789753262</c:v>
                </c:pt>
                <c:pt idx="14">
                  <c:v>6.862977715412736</c:v>
                </c:pt>
                <c:pt idx="15">
                  <c:v>6.5862404655393254</c:v>
                </c:pt>
                <c:pt idx="16">
                  <c:v>6.3068778135739603</c:v>
                </c:pt>
                <c:pt idx="17">
                  <c:v>6.0255656235339465</c:v>
                </c:pt>
                <c:pt idx="18">
                  <c:v>5.7428303242163805</c:v>
                </c:pt>
                <c:pt idx="19">
                  <c:v>5.459087090398139</c:v>
                </c:pt>
                <c:pt idx="20">
                  <c:v>5.1746711930227107</c:v>
                </c:pt>
                <c:pt idx="21">
                  <c:v>4.8898640675128711</c:v>
                </c:pt>
                <c:pt idx="22">
                  <c:v>4.6049156502305859</c:v>
                </c:pt>
                <c:pt idx="23">
                  <c:v>4.3200644677427498</c:v>
                </c:pt>
                <c:pt idx="24">
                  <c:v>4.0355569005909899</c:v>
                </c:pt>
                <c:pt idx="25">
                  <c:v>3.7516670159486529</c:v>
                </c:pt>
                <c:pt idx="26">
                  <c:v>3.4687183826083885</c:v>
                </c:pt>
                <c:pt idx="27">
                  <c:v>3.1871093398675958</c:v>
                </c:pt>
                <c:pt idx="28">
                  <c:v>2.9073432606518947</c:v>
                </c:pt>
                <c:pt idx="29">
                  <c:v>2.630065367902529</c:v>
                </c:pt>
                <c:pt idx="30">
                  <c:v>2.3561075172769406</c:v>
                </c:pt>
                <c:pt idx="31">
                  <c:v>2.0865418453542297</c:v>
                </c:pt>
                <c:pt idx="32">
                  <c:v>1.8227429591939401</c:v>
                </c:pt>
                <c:pt idx="33">
                  <c:v>1.5664558712897261</c:v>
                </c:pt>
                <c:pt idx="34">
                  <c:v>1.3198623866581221</c:v>
                </c:pt>
                <c:pt idx="35">
                  <c:v>1.085631168034473</c:v>
                </c:pt>
                <c:pt idx="36">
                  <c:v>0.86692544031598195</c:v>
                </c:pt>
                <c:pt idx="37">
                  <c:v>0.6673275714074266</c:v>
                </c:pt>
                <c:pt idx="38">
                  <c:v>0.49062512981504497</c:v>
                </c:pt>
                <c:pt idx="39">
                  <c:v>0.3403987352845676</c:v>
                </c:pt>
                <c:pt idx="40">
                  <c:v>0.21937868928329404</c:v>
                </c:pt>
                <c:pt idx="41">
                  <c:v>0.12862393420631446</c:v>
                </c:pt>
                <c:pt idx="42">
                  <c:v>6.6739962222257421E-2</c:v>
                </c:pt>
                <c:pt idx="43">
                  <c:v>2.9543409436466078E-2</c:v>
                </c:pt>
                <c:pt idx="44">
                  <c:v>1.0624985710207481E-2</c:v>
                </c:pt>
                <c:pt idx="45">
                  <c:v>2.9085484522018527E-3</c:v>
                </c:pt>
                <c:pt idx="46">
                  <c:v>5.5550414499455788E-4</c:v>
                </c:pt>
                <c:pt idx="47">
                  <c:v>6.5891458916227498E-5</c:v>
                </c:pt>
                <c:pt idx="48">
                  <c:v>4.1550680872537967E-6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8C-3745-8F1E-F90DE2EDB591}"/>
            </c:ext>
          </c:extLst>
        </c:ser>
        <c:ser>
          <c:idx val="5"/>
          <c:order val="4"/>
          <c:tx>
            <c:strRef>
              <c:f>Sheet1!$G$13</c:f>
              <c:strCache>
                <c:ptCount val="1"/>
                <c:pt idx="0">
                  <c:v>Whan(u,0.03)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Sheet1!$G$14:$G$62</c:f>
              <c:numCache>
                <c:formatCode>0.00E+00</c:formatCode>
                <c:ptCount val="49"/>
                <c:pt idx="0">
                  <c:v>7.2470590758520324</c:v>
                </c:pt>
                <c:pt idx="1">
                  <c:v>7.247059073224027</c:v>
                </c:pt>
                <c:pt idx="2">
                  <c:v>7.2470588406021772</c:v>
                </c:pt>
                <c:pt idx="3">
                  <c:v>7.2470518004250577</c:v>
                </c:pt>
                <c:pt idx="4">
                  <c:v>7.2469576741582209</c:v>
                </c:pt>
                <c:pt idx="5">
                  <c:v>7.2462834240921303</c:v>
                </c:pt>
                <c:pt idx="6">
                  <c:v>7.243285372477378</c:v>
                </c:pt>
                <c:pt idx="7">
                  <c:v>7.234019136142142</c:v>
                </c:pt>
                <c:pt idx="8">
                  <c:v>7.2123007090621867</c:v>
                </c:pt>
                <c:pt idx="9">
                  <c:v>7.1710305032680894</c:v>
                </c:pt>
                <c:pt idx="10">
                  <c:v>7.104117114683433</c:v>
                </c:pt>
                <c:pt idx="11">
                  <c:v>7.0078789482792061</c:v>
                </c:pt>
                <c:pt idx="12">
                  <c:v>6.8814189091809181</c:v>
                </c:pt>
                <c:pt idx="13">
                  <c:v>6.7261713752024006</c:v>
                </c:pt>
                <c:pt idx="14">
                  <c:v>6.5450880502729278</c:v>
                </c:pt>
                <c:pt idx="15">
                  <c:v>6.3418395216946308</c:v>
                </c:pt>
                <c:pt idx="16">
                  <c:v>6.1202144954644959</c:v>
                </c:pt>
                <c:pt idx="17">
                  <c:v>5.8837488363267418</c:v>
                </c:pt>
                <c:pt idx="18">
                  <c:v>5.6355430334946996</c:v>
                </c:pt>
                <c:pt idx="19">
                  <c:v>5.3782077587155941</c:v>
                </c:pt>
                <c:pt idx="20">
                  <c:v>5.1138846000178289</c:v>
                </c:pt>
                <c:pt idx="21">
                  <c:v>4.8443042731428942</c:v>
                </c:pt>
                <c:pt idx="22">
                  <c:v>4.5708589035286868</c:v>
                </c:pt>
                <c:pt idx="23">
                  <c:v>4.2946756014009502</c:v>
                </c:pt>
                <c:pt idx="24">
                  <c:v>4.0166855203180516</c:v>
                </c:pt>
                <c:pt idx="25">
                  <c:v>3.7376867730214092</c:v>
                </c:pt>
                <c:pt idx="26">
                  <c:v>3.4584019124081316</c:v>
                </c:pt>
                <c:pt idx="27">
                  <c:v>3.1795318906224721</c:v>
                </c:pt>
                <c:pt idx="28">
                  <c:v>2.9018089547911847</c:v>
                </c:pt>
                <c:pt idx="29">
                  <c:v>2.6260510752240105</c:v>
                </c:pt>
                <c:pt idx="30">
                  <c:v>2.3532203002836636</c:v>
                </c:pt>
                <c:pt idx="31">
                  <c:v>2.0844867907797329</c:v>
                </c:pt>
                <c:pt idx="32">
                  <c:v>1.8212989176074761</c:v>
                </c:pt>
                <c:pt idx="33">
                  <c:v>1.5654571961085655</c:v>
                </c:pt>
                <c:pt idx="34">
                  <c:v>1.3191852126734498</c:v>
                </c:pt>
                <c:pt idx="35">
                  <c:v>1.0851831180348837</c:v>
                </c:pt>
                <c:pt idx="36">
                  <c:v>0.86663791576426519</c:v>
                </c:pt>
                <c:pt idx="37">
                  <c:v>0.66714998594281461</c:v>
                </c:pt>
                <c:pt idx="38">
                  <c:v>0.49052059626028588</c:v>
                </c:pt>
                <c:pt idx="39">
                  <c:v>0.34034082906119068</c:v>
                </c:pt>
                <c:pt idx="40">
                  <c:v>0.21934899353708939</c:v>
                </c:pt>
                <c:pt idx="41">
                  <c:v>0.12861013444734298</c:v>
                </c:pt>
                <c:pt idx="42">
                  <c:v>6.6734312039382071E-2</c:v>
                </c:pt>
                <c:pt idx="43">
                  <c:v>2.9541445271174999E-2</c:v>
                </c:pt>
                <c:pt idx="44">
                  <c:v>1.0624433762619692E-2</c:v>
                </c:pt>
                <c:pt idx="45">
                  <c:v>2.9084309963279369E-3</c:v>
                </c:pt>
                <c:pt idx="46">
                  <c:v>5.5548679384043241E-4</c:v>
                </c:pt>
                <c:pt idx="47">
                  <c:v>6.5889874643405261E-5</c:v>
                </c:pt>
                <c:pt idx="48">
                  <c:v>4.154991524936551E-6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8C-3745-8F1E-F90DE2EDB591}"/>
            </c:ext>
          </c:extLst>
        </c:ser>
        <c:ser>
          <c:idx val="6"/>
          <c:order val="5"/>
          <c:tx>
            <c:strRef>
              <c:f>Sheet1!$H$13</c:f>
              <c:strCache>
                <c:ptCount val="1"/>
                <c:pt idx="0">
                  <c:v>Whan(u,0.1)</c:v>
                </c:pt>
              </c:strCache>
            </c:strRef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Sheet1!$H$14:$H$62</c:f>
              <c:numCache>
                <c:formatCode>0.00E+00</c:formatCode>
                <c:ptCount val="49"/>
                <c:pt idx="0">
                  <c:v>4.8541380494040913</c:v>
                </c:pt>
                <c:pt idx="1">
                  <c:v>4.8541380494041038</c:v>
                </c:pt>
                <c:pt idx="2">
                  <c:v>4.8541380494040993</c:v>
                </c:pt>
                <c:pt idx="3">
                  <c:v>4.8541380494041002</c:v>
                </c:pt>
                <c:pt idx="4">
                  <c:v>4.8541380494041046</c:v>
                </c:pt>
                <c:pt idx="5">
                  <c:v>4.854138049404094</c:v>
                </c:pt>
                <c:pt idx="6">
                  <c:v>4.8541380494040967</c:v>
                </c:pt>
                <c:pt idx="7">
                  <c:v>4.8541380494040958</c:v>
                </c:pt>
                <c:pt idx="8">
                  <c:v>4.8541380494035646</c:v>
                </c:pt>
                <c:pt idx="9">
                  <c:v>4.8541380490385819</c:v>
                </c:pt>
                <c:pt idx="10">
                  <c:v>4.8541379971722565</c:v>
                </c:pt>
                <c:pt idx="11">
                  <c:v>4.8541357494388357</c:v>
                </c:pt>
                <c:pt idx="12">
                  <c:v>4.8540962358909798</c:v>
                </c:pt>
                <c:pt idx="13">
                  <c:v>4.8537473424764253</c:v>
                </c:pt>
                <c:pt idx="14">
                  <c:v>4.8519273270101442</c:v>
                </c:pt>
                <c:pt idx="15">
                  <c:v>4.845574435059449</c:v>
                </c:pt>
                <c:pt idx="16">
                  <c:v>4.8292437749487966</c:v>
                </c:pt>
                <c:pt idx="17">
                  <c:v>4.7959660792272034</c:v>
                </c:pt>
                <c:pt idx="18">
                  <c:v>4.7390938967496394</c:v>
                </c:pt>
                <c:pt idx="19">
                  <c:v>4.6539993005936475</c:v>
                </c:pt>
                <c:pt idx="20">
                  <c:v>4.5388332002607719</c:v>
                </c:pt>
                <c:pt idx="21">
                  <c:v>4.3943276088226018</c:v>
                </c:pt>
                <c:pt idx="22">
                  <c:v>4.2230643827039263</c:v>
                </c:pt>
                <c:pt idx="23">
                  <c:v>4.0286453564196547</c:v>
                </c:pt>
                <c:pt idx="24">
                  <c:v>3.8150172917318712</c:v>
                </c:pt>
                <c:pt idx="25">
                  <c:v>3.586030152710094</c:v>
                </c:pt>
                <c:pt idx="26">
                  <c:v>3.345206977734859</c:v>
                </c:pt>
                <c:pt idx="27">
                  <c:v>3.0956683878527684</c:v>
                </c:pt>
                <c:pt idx="28">
                  <c:v>2.840155440885463</c:v>
                </c:pt>
                <c:pt idx="29">
                  <c:v>2.5811084264942519</c:v>
                </c:pt>
                <c:pt idx="30">
                  <c:v>2.3207742394354614</c:v>
                </c:pt>
                <c:pt idx="31">
                  <c:v>2.0613264846523442</c:v>
                </c:pt>
                <c:pt idx="32">
                  <c:v>1.8049894024030206</c:v>
                </c:pt>
                <c:pt idx="33">
                  <c:v>1.5541592103919566</c:v>
                </c:pt>
                <c:pt idx="34">
                  <c:v>1.3115147339854076</c:v>
                </c:pt>
                <c:pt idx="35">
                  <c:v>1.0801030960004032</c:v>
                </c:pt>
                <c:pt idx="36">
                  <c:v>0.86337554260922222</c:v>
                </c:pt>
                <c:pt idx="37">
                  <c:v>0.66513388696673181</c:v>
                </c:pt>
                <c:pt idx="38">
                  <c:v>0.48933332569166532</c:v>
                </c:pt>
                <c:pt idx="39">
                  <c:v>0.33968291995757438</c:v>
                </c:pt>
                <c:pt idx="40">
                  <c:v>0.21901151300626365</c:v>
                </c:pt>
                <c:pt idx="41">
                  <c:v>0.12845327360532163</c:v>
                </c:pt>
                <c:pt idx="42">
                  <c:v>6.6670076617313792E-2</c:v>
                </c:pt>
                <c:pt idx="43">
                  <c:v>2.9519112429339862E-2</c:v>
                </c:pt>
                <c:pt idx="44">
                  <c:v>1.0618157431314839E-2</c:v>
                </c:pt>
                <c:pt idx="45">
                  <c:v>2.9070952758776009E-3</c:v>
                </c:pt>
                <c:pt idx="46">
                  <c:v>5.5528946309420094E-4</c:v>
                </c:pt>
                <c:pt idx="47">
                  <c:v>6.5871856243742148E-5</c:v>
                </c:pt>
                <c:pt idx="48">
                  <c:v>4.154120728414208E-6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8C-3745-8F1E-F90DE2EDB591}"/>
            </c:ext>
          </c:extLst>
        </c:ser>
        <c:ser>
          <c:idx val="7"/>
          <c:order val="6"/>
          <c:tx>
            <c:strRef>
              <c:f>Sheet1!$I$13</c:f>
              <c:strCache>
                <c:ptCount val="1"/>
                <c:pt idx="0">
                  <c:v>Whan(u,0.3)</c:v>
                </c:pt>
              </c:strCache>
            </c:strRef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Sheet1!$I$14:$I$62</c:f>
              <c:numCache>
                <c:formatCode>0.00E+00</c:formatCode>
                <c:ptCount val="49"/>
                <c:pt idx="0">
                  <c:v>2.744920121088624</c:v>
                </c:pt>
                <c:pt idx="1">
                  <c:v>2.7449201210886178</c:v>
                </c:pt>
                <c:pt idx="2">
                  <c:v>2.7449201210886196</c:v>
                </c:pt>
                <c:pt idx="3">
                  <c:v>2.744920121088616</c:v>
                </c:pt>
                <c:pt idx="4">
                  <c:v>2.7449201210886183</c:v>
                </c:pt>
                <c:pt idx="5">
                  <c:v>2.7449201210886196</c:v>
                </c:pt>
                <c:pt idx="6">
                  <c:v>2.7449201210886192</c:v>
                </c:pt>
                <c:pt idx="7">
                  <c:v>2.7449201210886232</c:v>
                </c:pt>
                <c:pt idx="8">
                  <c:v>2.7449201210886152</c:v>
                </c:pt>
                <c:pt idx="9">
                  <c:v>2.744920121088616</c:v>
                </c:pt>
                <c:pt idx="10">
                  <c:v>2.744920121088624</c:v>
                </c:pt>
                <c:pt idx="11">
                  <c:v>2.7449201210886223</c:v>
                </c:pt>
                <c:pt idx="12">
                  <c:v>2.7449201210886129</c:v>
                </c:pt>
                <c:pt idx="13">
                  <c:v>2.7449201210886249</c:v>
                </c:pt>
                <c:pt idx="14">
                  <c:v>2.744920121088616</c:v>
                </c:pt>
                <c:pt idx="15">
                  <c:v>2.7449201210886156</c:v>
                </c:pt>
                <c:pt idx="16">
                  <c:v>2.7449201210814396</c:v>
                </c:pt>
                <c:pt idx="17">
                  <c:v>2.7449201184567262</c:v>
                </c:pt>
                <c:pt idx="18">
                  <c:v>2.7449198862185402</c:v>
                </c:pt>
                <c:pt idx="19">
                  <c:v>2.7449128613164606</c:v>
                </c:pt>
                <c:pt idx="20">
                  <c:v>2.7448190039099263</c:v>
                </c:pt>
                <c:pt idx="21">
                  <c:v>2.7441472930493336</c:v>
                </c:pt>
                <c:pt idx="22">
                  <c:v>2.7411641534474809</c:v>
                </c:pt>
                <c:pt idx="23">
                  <c:v>2.7319588889895359</c:v>
                </c:pt>
                <c:pt idx="24">
                  <c:v>2.7104297647447879</c:v>
                </c:pt>
                <c:pt idx="25">
                  <c:v>2.6696365122885362</c:v>
                </c:pt>
                <c:pt idx="26">
                  <c:v>2.6037490115414523</c:v>
                </c:pt>
                <c:pt idx="27">
                  <c:v>2.5094685577332503</c:v>
                </c:pt>
                <c:pt idx="28">
                  <c:v>2.3864209485410028</c:v>
                </c:pt>
                <c:pt idx="29">
                  <c:v>2.236726732866579</c:v>
                </c:pt>
                <c:pt idx="30">
                  <c:v>2.0642201371755111</c:v>
                </c:pt>
                <c:pt idx="31">
                  <c:v>1.873695871726188</c:v>
                </c:pt>
                <c:pt idx="32">
                  <c:v>1.6703653987172142</c:v>
                </c:pt>
                <c:pt idx="33">
                  <c:v>1.4595511742433727</c:v>
                </c:pt>
                <c:pt idx="34">
                  <c:v>1.2465691853893186</c:v>
                </c:pt>
                <c:pt idx="35">
                  <c:v>1.036723725543069</c:v>
                </c:pt>
                <c:pt idx="36">
                  <c:v>0.83533458212815559</c:v>
                </c:pt>
                <c:pt idx="37">
                  <c:v>0.64771729596028949</c:v>
                </c:pt>
                <c:pt idx="38">
                  <c:v>0.47903667634503644</c:v>
                </c:pt>
                <c:pt idx="39">
                  <c:v>0.33395989120042102</c:v>
                </c:pt>
                <c:pt idx="40">
                  <c:v>0.21606892362671329</c:v>
                </c:pt>
                <c:pt idx="41">
                  <c:v>0.12708305291206232</c:v>
                </c:pt>
                <c:pt idx="42">
                  <c:v>6.6108161452652914E-2</c:v>
                </c:pt>
                <c:pt idx="43">
                  <c:v>2.9323532432785415E-2</c:v>
                </c:pt>
                <c:pt idx="44">
                  <c:v>1.0563144536587252E-2</c:v>
                </c:pt>
                <c:pt idx="45">
                  <c:v>2.8953795466720796E-3</c:v>
                </c:pt>
                <c:pt idx="46">
                  <c:v>5.5355774023816784E-4</c:v>
                </c:pt>
                <c:pt idx="47">
                  <c:v>6.571366645292926E-5</c:v>
                </c:pt>
                <c:pt idx="48">
                  <c:v>4.1464732680049416E-6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8C-3745-8F1E-F90DE2EDB591}"/>
            </c:ext>
          </c:extLst>
        </c:ser>
        <c:ser>
          <c:idx val="8"/>
          <c:order val="7"/>
          <c:tx>
            <c:strRef>
              <c:f>Sheet1!$J$13</c:f>
              <c:strCache>
                <c:ptCount val="1"/>
                <c:pt idx="0">
                  <c:v>Whan(u,1)</c:v>
                </c:pt>
              </c:strCache>
            </c:strRef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Sheet1!$J$14:$J$62</c:f>
              <c:numCache>
                <c:formatCode>0.00E+00</c:formatCode>
                <c:ptCount val="49"/>
                <c:pt idx="0">
                  <c:v>0.84204887648141735</c:v>
                </c:pt>
                <c:pt idx="1">
                  <c:v>0.84204887648141791</c:v>
                </c:pt>
                <c:pt idx="2">
                  <c:v>0.84204887648141646</c:v>
                </c:pt>
                <c:pt idx="3">
                  <c:v>0.84204887648141746</c:v>
                </c:pt>
                <c:pt idx="4">
                  <c:v>0.84204887648141691</c:v>
                </c:pt>
                <c:pt idx="5">
                  <c:v>0.8420488764814178</c:v>
                </c:pt>
                <c:pt idx="6">
                  <c:v>0.84204887648141646</c:v>
                </c:pt>
                <c:pt idx="7">
                  <c:v>0.84204887648141569</c:v>
                </c:pt>
                <c:pt idx="8">
                  <c:v>0.8420488764814168</c:v>
                </c:pt>
                <c:pt idx="9">
                  <c:v>0.84204887648141724</c:v>
                </c:pt>
                <c:pt idx="10">
                  <c:v>0.84204887648141746</c:v>
                </c:pt>
                <c:pt idx="11">
                  <c:v>0.84204887648141846</c:v>
                </c:pt>
                <c:pt idx="12">
                  <c:v>0.8420488764814168</c:v>
                </c:pt>
                <c:pt idx="13">
                  <c:v>0.84204887648141824</c:v>
                </c:pt>
                <c:pt idx="14">
                  <c:v>0.84204887648141735</c:v>
                </c:pt>
                <c:pt idx="15">
                  <c:v>0.84204887648141746</c:v>
                </c:pt>
                <c:pt idx="16">
                  <c:v>0.8420488764814158</c:v>
                </c:pt>
                <c:pt idx="17">
                  <c:v>0.84204887648141669</c:v>
                </c:pt>
                <c:pt idx="18">
                  <c:v>0.84204887648141713</c:v>
                </c:pt>
                <c:pt idx="19">
                  <c:v>0.84204887648141613</c:v>
                </c:pt>
                <c:pt idx="20">
                  <c:v>0.8420488764814188</c:v>
                </c:pt>
                <c:pt idx="21">
                  <c:v>0.84204887648141746</c:v>
                </c:pt>
                <c:pt idx="22">
                  <c:v>0.84204887648141669</c:v>
                </c:pt>
                <c:pt idx="23">
                  <c:v>0.8420488764814178</c:v>
                </c:pt>
                <c:pt idx="24">
                  <c:v>0.84204887648088778</c:v>
                </c:pt>
                <c:pt idx="25">
                  <c:v>0.84204887612046564</c:v>
                </c:pt>
                <c:pt idx="26">
                  <c:v>0.84204882510726697</c:v>
                </c:pt>
                <c:pt idx="27">
                  <c:v>0.84204662589899115</c:v>
                </c:pt>
                <c:pt idx="28">
                  <c:v>0.84200823141401393</c:v>
                </c:pt>
                <c:pt idx="29">
                  <c:v>0.84167230359465006</c:v>
                </c:pt>
                <c:pt idx="30">
                  <c:v>0.83994106874929131</c:v>
                </c:pt>
                <c:pt idx="31">
                  <c:v>0.83399491462563458</c:v>
                </c:pt>
                <c:pt idx="32">
                  <c:v>0.81903524317415333</c:v>
                </c:pt>
                <c:pt idx="33">
                  <c:v>0.78941317097985575</c:v>
                </c:pt>
                <c:pt idx="34">
                  <c:v>0.74068740837999847</c:v>
                </c:pt>
                <c:pt idx="35">
                  <c:v>0.67140411442245496</c:v>
                </c:pt>
                <c:pt idx="36">
                  <c:v>0.58379467181263378</c:v>
                </c:pt>
                <c:pt idx="37">
                  <c:v>0.48338067374374283</c:v>
                </c:pt>
                <c:pt idx="38">
                  <c:v>0.37789742028475004</c:v>
                </c:pt>
                <c:pt idx="39">
                  <c:v>0.27592936680543917</c:v>
                </c:pt>
                <c:pt idx="40">
                  <c:v>0.18547391523863779</c:v>
                </c:pt>
                <c:pt idx="41">
                  <c:v>0.11255237926032401</c:v>
                </c:pt>
                <c:pt idx="42">
                  <c:v>6.0056031762416889E-2</c:v>
                </c:pt>
                <c:pt idx="43">
                  <c:v>2.7191188398891782E-2</c:v>
                </c:pt>
                <c:pt idx="44">
                  <c:v>9.9575941304555719E-3</c:v>
                </c:pt>
                <c:pt idx="45">
                  <c:v>2.7654506431455035E-3</c:v>
                </c:pt>
                <c:pt idx="46">
                  <c:v>5.3424016259890001E-4</c:v>
                </c:pt>
                <c:pt idx="47">
                  <c:v>6.3940997091539584E-5</c:v>
                </c:pt>
                <c:pt idx="48">
                  <c:v>4.0604733839549128E-6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8C-3745-8F1E-F90DE2EDB591}"/>
            </c:ext>
          </c:extLst>
        </c:ser>
        <c:ser>
          <c:idx val="9"/>
          <c:order val="8"/>
          <c:tx>
            <c:strRef>
              <c:f>Sheet1!$K$13</c:f>
              <c:strCache>
                <c:ptCount val="1"/>
                <c:pt idx="0">
                  <c:v>Whan(u,3)</c:v>
                </c:pt>
              </c:strCache>
            </c:strRef>
          </c:tx>
          <c:spPr>
            <a:ln w="25400" cap="flat" cmpd="dbl" algn="ctr">
              <a:solidFill>
                <a:schemeClr val="accent4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Sheet1!$A$14:$A$62</c:f>
              <c:numCache>
                <c:formatCode>0.00E+00</c:formatCode>
                <c:ptCount val="49"/>
                <c:pt idx="0">
                  <c:v>99999.999999999985</c:v>
                </c:pt>
                <c:pt idx="1">
                  <c:v>74989.420933245579</c:v>
                </c:pt>
                <c:pt idx="2">
                  <c:v>56234.132519034902</c:v>
                </c:pt>
                <c:pt idx="3">
                  <c:v>42169.650342858222</c:v>
                </c:pt>
                <c:pt idx="4">
                  <c:v>31622.776601683792</c:v>
                </c:pt>
                <c:pt idx="5">
                  <c:v>23713.737056616552</c:v>
                </c:pt>
                <c:pt idx="6">
                  <c:v>17782.794100389227</c:v>
                </c:pt>
                <c:pt idx="7">
                  <c:v>13335.214321633241</c:v>
                </c:pt>
                <c:pt idx="8">
                  <c:v>10000</c:v>
                </c:pt>
                <c:pt idx="9">
                  <c:v>7498.9420933245583</c:v>
                </c:pt>
                <c:pt idx="10">
                  <c:v>5623.4132519034911</c:v>
                </c:pt>
                <c:pt idx="11">
                  <c:v>4216.9650342858231</c:v>
                </c:pt>
                <c:pt idx="12">
                  <c:v>3162.27766016838</c:v>
                </c:pt>
                <c:pt idx="13">
                  <c:v>2371.3737056616555</c:v>
                </c:pt>
                <c:pt idx="14">
                  <c:v>1778.2794100389231</c:v>
                </c:pt>
                <c:pt idx="15">
                  <c:v>1333.5214321633243</c:v>
                </c:pt>
                <c:pt idx="16">
                  <c:v>1000.0000000000002</c:v>
                </c:pt>
                <c:pt idx="17">
                  <c:v>749.89420933245606</c:v>
                </c:pt>
                <c:pt idx="18">
                  <c:v>562.34132519034927</c:v>
                </c:pt>
                <c:pt idx="19">
                  <c:v>421.69650342858245</c:v>
                </c:pt>
                <c:pt idx="20">
                  <c:v>316.22776601683807</c:v>
                </c:pt>
                <c:pt idx="21">
                  <c:v>237.13737056616566</c:v>
                </c:pt>
                <c:pt idx="22">
                  <c:v>177.82794100389239</c:v>
                </c:pt>
                <c:pt idx="23">
                  <c:v>133.35214321633248</c:v>
                </c:pt>
                <c:pt idx="24">
                  <c:v>100.00000000000007</c:v>
                </c:pt>
                <c:pt idx="25">
                  <c:v>74.98942093324564</c:v>
                </c:pt>
                <c:pt idx="26">
                  <c:v>56.234132519034951</c:v>
                </c:pt>
                <c:pt idx="27">
                  <c:v>42.169650342858255</c:v>
                </c:pt>
                <c:pt idx="28">
                  <c:v>31.622776601683817</c:v>
                </c:pt>
                <c:pt idx="29">
                  <c:v>23.713737056616569</c:v>
                </c:pt>
                <c:pt idx="30">
                  <c:v>17.782794100389239</c:v>
                </c:pt>
                <c:pt idx="31">
                  <c:v>13.33521432163325</c:v>
                </c:pt>
                <c:pt idx="32">
                  <c:v>10.000000000000007</c:v>
                </c:pt>
                <c:pt idx="33">
                  <c:v>7.4989420933245645</c:v>
                </c:pt>
                <c:pt idx="34">
                  <c:v>5.6234132519034956</c:v>
                </c:pt>
                <c:pt idx="35">
                  <c:v>4.2169650342858258</c:v>
                </c:pt>
                <c:pt idx="36">
                  <c:v>3.1622776601683822</c:v>
                </c:pt>
                <c:pt idx="37">
                  <c:v>2.3713737056616573</c:v>
                </c:pt>
                <c:pt idx="38">
                  <c:v>1.7782794100389243</c:v>
                </c:pt>
                <c:pt idx="39">
                  <c:v>1.3335214321633251</c:v>
                </c:pt>
                <c:pt idx="40">
                  <c:v>1.0000000000000009</c:v>
                </c:pt>
                <c:pt idx="41">
                  <c:v>0.74989420933245643</c:v>
                </c:pt>
                <c:pt idx="42">
                  <c:v>0.56234132519034963</c:v>
                </c:pt>
                <c:pt idx="43">
                  <c:v>0.42169650342858267</c:v>
                </c:pt>
                <c:pt idx="44">
                  <c:v>0.31622776601683827</c:v>
                </c:pt>
                <c:pt idx="45">
                  <c:v>0.23713737056616579</c:v>
                </c:pt>
                <c:pt idx="46">
                  <c:v>0.17782794100389249</c:v>
                </c:pt>
                <c:pt idx="47">
                  <c:v>0.13335214321633257</c:v>
                </c:pt>
                <c:pt idx="48">
                  <c:v>0.10000000000000013</c:v>
                </c:pt>
              </c:numCache>
            </c:numRef>
          </c:xVal>
          <c:yVal>
            <c:numRef>
              <c:f>Sheet1!$K$14:$K$62</c:f>
              <c:numCache>
                <c:formatCode>0.00E+00</c:formatCode>
                <c:ptCount val="49"/>
                <c:pt idx="0">
                  <c:v>6.9479008772558443E-2</c:v>
                </c:pt>
                <c:pt idx="1">
                  <c:v>6.9479008772558443E-2</c:v>
                </c:pt>
                <c:pt idx="2">
                  <c:v>6.9479008772558429E-2</c:v>
                </c:pt>
                <c:pt idx="3">
                  <c:v>6.9479008772558443E-2</c:v>
                </c:pt>
                <c:pt idx="4">
                  <c:v>6.9479008772558443E-2</c:v>
                </c:pt>
                <c:pt idx="5">
                  <c:v>6.9479008772558415E-2</c:v>
                </c:pt>
                <c:pt idx="6">
                  <c:v>6.9479008772558415E-2</c:v>
                </c:pt>
                <c:pt idx="7">
                  <c:v>6.9479008772558346E-2</c:v>
                </c:pt>
                <c:pt idx="8">
                  <c:v>6.9479008772558512E-2</c:v>
                </c:pt>
                <c:pt idx="9">
                  <c:v>6.9479008772558415E-2</c:v>
                </c:pt>
                <c:pt idx="10">
                  <c:v>6.9479008772558401E-2</c:v>
                </c:pt>
                <c:pt idx="11">
                  <c:v>6.9479008772558401E-2</c:v>
                </c:pt>
                <c:pt idx="12">
                  <c:v>6.947900877255847E-2</c:v>
                </c:pt>
                <c:pt idx="13">
                  <c:v>6.9479008772558498E-2</c:v>
                </c:pt>
                <c:pt idx="14">
                  <c:v>6.9479008772558429E-2</c:v>
                </c:pt>
                <c:pt idx="15">
                  <c:v>6.9479008772558457E-2</c:v>
                </c:pt>
                <c:pt idx="16">
                  <c:v>6.9479008772558498E-2</c:v>
                </c:pt>
                <c:pt idx="17">
                  <c:v>6.9479008772558429E-2</c:v>
                </c:pt>
                <c:pt idx="18">
                  <c:v>6.9479008772558457E-2</c:v>
                </c:pt>
                <c:pt idx="19">
                  <c:v>6.9479008772558415E-2</c:v>
                </c:pt>
                <c:pt idx="20">
                  <c:v>6.9479008772558512E-2</c:v>
                </c:pt>
                <c:pt idx="21">
                  <c:v>6.9479008772558415E-2</c:v>
                </c:pt>
                <c:pt idx="22">
                  <c:v>6.9479008772558415E-2</c:v>
                </c:pt>
                <c:pt idx="23">
                  <c:v>6.947900877255847E-2</c:v>
                </c:pt>
                <c:pt idx="24">
                  <c:v>6.947900877255847E-2</c:v>
                </c:pt>
                <c:pt idx="25">
                  <c:v>6.9479008772558457E-2</c:v>
                </c:pt>
                <c:pt idx="26">
                  <c:v>6.9479008772558401E-2</c:v>
                </c:pt>
                <c:pt idx="27">
                  <c:v>6.9479008772558457E-2</c:v>
                </c:pt>
                <c:pt idx="28">
                  <c:v>6.9479008772558401E-2</c:v>
                </c:pt>
                <c:pt idx="29">
                  <c:v>6.9479008772558443E-2</c:v>
                </c:pt>
                <c:pt idx="30">
                  <c:v>6.9479008772558401E-2</c:v>
                </c:pt>
                <c:pt idx="31">
                  <c:v>6.9479008772555695E-2</c:v>
                </c:pt>
                <c:pt idx="32">
                  <c:v>6.9479008766021491E-2</c:v>
                </c:pt>
                <c:pt idx="33">
                  <c:v>6.9479006450558878E-2</c:v>
                </c:pt>
                <c:pt idx="34">
                  <c:v>6.9478809540325537E-2</c:v>
                </c:pt>
                <c:pt idx="35">
                  <c:v>6.9473155587215868E-2</c:v>
                </c:pt>
                <c:pt idx="36">
                  <c:v>6.9402632779394319E-2</c:v>
                </c:pt>
                <c:pt idx="37">
                  <c:v>6.8941851231291984E-2</c:v>
                </c:pt>
                <c:pt idx="38">
                  <c:v>6.7128628360296622E-2</c:v>
                </c:pt>
                <c:pt idx="39">
                  <c:v>6.2365053818660005E-2</c:v>
                </c:pt>
                <c:pt idx="40">
                  <c:v>5.337164080130341E-2</c:v>
                </c:pt>
                <c:pt idx="41">
                  <c:v>4.0556318960596464E-2</c:v>
                </c:pt>
                <c:pt idx="42">
                  <c:v>2.6387864279731707E-2</c:v>
                </c:pt>
                <c:pt idx="43">
                  <c:v>1.4138554666372927E-2</c:v>
                </c:pt>
                <c:pt idx="44">
                  <c:v>5.9509465101545422E-3</c:v>
                </c:pt>
                <c:pt idx="45">
                  <c:v>1.8502784038431552E-3</c:v>
                </c:pt>
                <c:pt idx="46">
                  <c:v>3.9122705458337212E-4</c:v>
                </c:pt>
                <c:pt idx="47">
                  <c:v>5.0291350810328524E-5</c:v>
                </c:pt>
                <c:pt idx="48">
                  <c:v>3.3775604761081685E-6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8C-3745-8F1E-F90DE2EDB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350640"/>
        <c:axId val="1406223712"/>
      </c:scatterChart>
      <c:valAx>
        <c:axId val="140635064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cap="none" baseline="0"/>
                  <a:t>1/u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06223712"/>
        <c:crossesAt val="0.01"/>
        <c:crossBetween val="midCat"/>
      </c:valAx>
      <c:valAx>
        <c:axId val="1406223712"/>
        <c:scaling>
          <c:logBase val="10"/>
          <c:orientation val="minMax"/>
          <c:max val="2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cap="none" baseline="0"/>
                  <a:t>expint(u), wtheis(u), whan(u,rho)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06350640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444500</xdr:colOff>
      <xdr:row>14</xdr:row>
      <xdr:rowOff>88900</xdr:rowOff>
    </xdr:from>
    <xdr:to>
      <xdr:col>17</xdr:col>
      <xdr:colOff>342900</xdr:colOff>
      <xdr:row>54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4AE154-2568-32FC-4D6D-17E6A1615D3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BA6E8-0D2D-6141-A02B-2F9864F78A05}" name="Table1" displayName="Table1" ref="A13:K62" totalsRowShown="0">
  <autoFilter ref="A13:K62" xr:uid="{395BA6E8-0D2D-6141-A02B-2F9864F78A05}"/>
  <tableColumns count="11">
    <tableColumn id="1" xr3:uid="{F62B06AD-4F30-9149-8AA3-44A5F5FE721E}" name="tau=1/u" dataDxfId="21" totalsRowDxfId="10">
      <calculatedColumnFormula>1/B14</calculatedColumnFormula>
    </tableColumn>
    <tableColumn id="2" xr3:uid="{C5299BBE-2FA8-AA4B-9301-05567F3BCC57}" name="u" dataDxfId="20" totalsRowDxfId="9">
      <calculatedColumnFormula>10^(1/8)*B13</calculatedColumnFormula>
    </tableColumn>
    <tableColumn id="3" xr3:uid="{0849B02C-EB19-D244-B56B-57FE40FBB4DE}" name="expint(u)" dataDxfId="11" totalsRowDxfId="8">
      <calculatedColumnFormula array="1">expint($B14)</calculatedColumnFormula>
    </tableColumn>
    <tableColumn id="4" xr3:uid="{0C359DEE-AA8A-E547-B5EB-91F471B45940}" name="wtheis(u)" dataDxfId="19" totalsRowDxfId="7">
      <calculatedColumnFormula array="1">wtheis($B14)</calculatedColumnFormula>
    </tableColumn>
    <tableColumn id="11" xr3:uid="{EFAD248C-6010-6B47-BA11-FDD841920EB8}" name="Whan(u,0)" dataDxfId="12" totalsRowDxfId="6">
      <calculatedColumnFormula array="1">whan($B14, E$12)</calculatedColumnFormula>
    </tableColumn>
    <tableColumn id="5" xr3:uid="{E08EBF21-5810-7B4D-9E7B-D6D41C6191EE}" name="Whan(u,0.01)" dataDxfId="18" totalsRowDxfId="5">
      <calculatedColumnFormula array="1">whan($B14, F$12)</calculatedColumnFormula>
    </tableColumn>
    <tableColumn id="6" xr3:uid="{7A41AD41-C6EC-FF49-8D32-34DED4984833}" name="Whan(u,0.03)" dataDxfId="17" totalsRowDxfId="4">
      <calculatedColumnFormula array="1">whan($B14, G$12)</calculatedColumnFormula>
    </tableColumn>
    <tableColumn id="7" xr3:uid="{0C40057D-84CC-3944-8DC2-926C9E576F52}" name="Whan(u,0.1)" dataDxfId="16" totalsRowDxfId="3">
      <calculatedColumnFormula array="1">whan($B14, H$12)</calculatedColumnFormula>
    </tableColumn>
    <tableColumn id="8" xr3:uid="{951E207B-EAE6-694A-9877-5FB14114C1AC}" name="Whan(u,0.3)" dataDxfId="15" totalsRowDxfId="2">
      <calculatedColumnFormula array="1">whan($B14, I$12)</calculatedColumnFormula>
    </tableColumn>
    <tableColumn id="9" xr3:uid="{4445768B-A441-734A-9A85-1D1B1621061F}" name="Whan(u,1)" dataDxfId="14" totalsRowDxfId="1">
      <calculatedColumnFormula array="1">whan($B14, J$12)</calculatedColumnFormula>
    </tableColumn>
    <tableColumn id="10" xr3:uid="{A873C573-55FA-014E-AE89-E2B6181EE83B}" name="Whan(u,3)" dataDxfId="13" totalsRowDxfId="0">
      <calculatedColumnFormula array="1">whan($B14, K$12)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C23A-94F6-8B4A-B0B2-E1D54E7A6A14}">
  <sheetPr codeName="Sheet1"/>
  <dimension ref="A1:K62"/>
  <sheetViews>
    <sheetView tabSelected="1" workbookViewId="0">
      <selection activeCell="C10" sqref="C10"/>
    </sheetView>
  </sheetViews>
  <sheetFormatPr baseColWidth="10" defaultRowHeight="16" x14ac:dyDescent="0.2"/>
  <cols>
    <col min="1" max="2" width="10.6640625" bestFit="1" customWidth="1"/>
    <col min="3" max="3" width="11.1640625" bestFit="1" customWidth="1"/>
    <col min="4" max="4" width="11.5" bestFit="1" customWidth="1"/>
    <col min="5" max="5" width="11.5" customWidth="1"/>
    <col min="6" max="7" width="14.83203125" bestFit="1" customWidth="1"/>
    <col min="8" max="9" width="13.83203125" bestFit="1" customWidth="1"/>
    <col min="10" max="11" width="12.33203125" bestFit="1" customWidth="1"/>
  </cols>
  <sheetData>
    <row r="1" spans="1:11" x14ac:dyDescent="0.2">
      <c r="A1" t="s">
        <v>12</v>
      </c>
    </row>
    <row r="2" spans="1:11" x14ac:dyDescent="0.2">
      <c r="A2" t="s">
        <v>13</v>
      </c>
    </row>
    <row r="3" spans="1:11" x14ac:dyDescent="0.2">
      <c r="A3" t="s">
        <v>14</v>
      </c>
    </row>
    <row r="4" spans="1:11" x14ac:dyDescent="0.2">
      <c r="A4" t="s">
        <v>15</v>
      </c>
    </row>
    <row r="5" spans="1:11" x14ac:dyDescent="0.2">
      <c r="A5" t="s">
        <v>16</v>
      </c>
    </row>
    <row r="6" spans="1:11" x14ac:dyDescent="0.2">
      <c r="A6" t="s">
        <v>17</v>
      </c>
    </row>
    <row r="8" spans="1:11" x14ac:dyDescent="0.2">
      <c r="A8" t="s">
        <v>18</v>
      </c>
    </row>
    <row r="11" spans="1:11" x14ac:dyDescent="0.2">
      <c r="F11" t="s">
        <v>3</v>
      </c>
    </row>
    <row r="12" spans="1:11" x14ac:dyDescent="0.2">
      <c r="A12" t="s">
        <v>4</v>
      </c>
      <c r="B12" t="s">
        <v>0</v>
      </c>
      <c r="C12" t="s">
        <v>1</v>
      </c>
      <c r="D12" t="s">
        <v>2</v>
      </c>
      <c r="E12">
        <v>0</v>
      </c>
      <c r="F12">
        <v>0.01</v>
      </c>
      <c r="G12">
        <f>0.03</f>
        <v>0.03</v>
      </c>
      <c r="H12">
        <v>0.1</v>
      </c>
      <c r="I12">
        <v>0.3</v>
      </c>
      <c r="J12">
        <v>1</v>
      </c>
      <c r="K12">
        <v>3</v>
      </c>
    </row>
    <row r="13" spans="1:11" x14ac:dyDescent="0.2">
      <c r="A13" t="s">
        <v>4</v>
      </c>
      <c r="B13" t="s">
        <v>0</v>
      </c>
      <c r="C13" t="s">
        <v>1</v>
      </c>
      <c r="D13" t="s">
        <v>2</v>
      </c>
      <c r="E13" t="s">
        <v>11</v>
      </c>
      <c r="F13" t="s">
        <v>5</v>
      </c>
      <c r="G13" t="s">
        <v>6</v>
      </c>
      <c r="H13" t="s">
        <v>7</v>
      </c>
      <c r="I13" t="s">
        <v>8</v>
      </c>
      <c r="J13" t="s">
        <v>9</v>
      </c>
      <c r="K13" t="s">
        <v>10</v>
      </c>
    </row>
    <row r="14" spans="1:11" s="1" customFormat="1" x14ac:dyDescent="0.2">
      <c r="A14" s="2">
        <f>1/B14</f>
        <v>99999.999999999985</v>
      </c>
      <c r="B14" s="2">
        <f>0.00001</f>
        <v>1.0000000000000001E-5</v>
      </c>
      <c r="C14" s="5" cm="1">
        <f t="array" ref="C14">expint($B14)</f>
        <v>10.935719800002239</v>
      </c>
      <c r="D14" s="3" cm="1">
        <f t="array" ref="D14">wtheis($B14)</f>
        <v>10.935719464945228</v>
      </c>
      <c r="E14" s="8" cm="1">
        <f t="array" ref="E14">whan($B14, E$12)</f>
        <v>10.935719800002239</v>
      </c>
      <c r="F14" s="2" cm="1">
        <f t="array" ref="F14">whan($B14, F$12)</f>
        <v>9.4175755954690352</v>
      </c>
      <c r="G14" s="2" cm="1">
        <f t="array" ref="G14">whan($B14, G$12)</f>
        <v>7.2470590758520324</v>
      </c>
      <c r="H14" s="2" cm="1">
        <f t="array" ref="H14">whan($B14, H$12)</f>
        <v>4.8541380494040913</v>
      </c>
      <c r="I14" s="2" cm="1">
        <f t="array" ref="I14">whan($B14, I$12)</f>
        <v>2.744920121088624</v>
      </c>
      <c r="J14" s="2" cm="1">
        <f t="array" ref="J14">whan($B14, J$12)</f>
        <v>0.84204887648141735</v>
      </c>
      <c r="K14" s="2" cm="1">
        <f t="array" ref="K14">whan($B14, K$12)</f>
        <v>6.9479008772558443E-2</v>
      </c>
    </row>
    <row r="15" spans="1:11" x14ac:dyDescent="0.2">
      <c r="A15" s="4">
        <f t="shared" ref="A15:A62" si="0">1/B15</f>
        <v>74989.420933245579</v>
      </c>
      <c r="B15" s="4">
        <f>10^(1/8)*B14</f>
        <v>1.3335214321633241E-5</v>
      </c>
      <c r="C15" s="6" cm="1">
        <f t="array" ref="C15">expint($B15)</f>
        <v>10.647899998558946</v>
      </c>
      <c r="D15" s="7" cm="1">
        <f t="array" ref="D15">wtheis($B15)</f>
        <v>10.647899663515837</v>
      </c>
      <c r="E15" s="9" cm="1">
        <f t="array" ref="E15">whan($B15, E$12)</f>
        <v>10.647899998558946</v>
      </c>
      <c r="F15" s="4" cm="1">
        <f t="array" ref="F15">whan($B15, F$12)</f>
        <v>9.3842591376971232</v>
      </c>
      <c r="G15" s="4" cm="1">
        <f t="array" ref="G15">whan($B15, G$12)</f>
        <v>7.247059073224027</v>
      </c>
      <c r="H15" s="4" cm="1">
        <f t="array" ref="H15">whan($B15, H$12)</f>
        <v>4.8541380494041038</v>
      </c>
      <c r="I15" s="4" cm="1">
        <f t="array" ref="I15">whan($B15, I$12)</f>
        <v>2.7449201210886178</v>
      </c>
      <c r="J15" s="4" cm="1">
        <f t="array" ref="J15">whan($B15, J$12)</f>
        <v>0.84204887648141791</v>
      </c>
      <c r="K15" s="4" cm="1">
        <f t="array" ref="K15">whan($B15, K$12)</f>
        <v>6.9479008772558443E-2</v>
      </c>
    </row>
    <row r="16" spans="1:11" x14ac:dyDescent="0.2">
      <c r="A16" s="4">
        <f t="shared" si="0"/>
        <v>56234.132519034902</v>
      </c>
      <c r="B16" s="4">
        <f t="shared" ref="B16:B62" si="1">10^(1/8)*B15</f>
        <v>1.7782794100389229E-5</v>
      </c>
      <c r="C16" s="6" cm="1">
        <f t="array" ref="C16">expint($B16)</f>
        <v>10.360081309461327</v>
      </c>
      <c r="D16" s="7" cm="1">
        <f t="array" ref="D16">wtheis($B16)</f>
        <v>10.360080974436762</v>
      </c>
      <c r="E16" s="9" cm="1">
        <f t="array" ref="E16">whan($B16, E$12)</f>
        <v>10.360081309461327</v>
      </c>
      <c r="F16" s="4" cm="1">
        <f t="array" ref="F16">whan($B16, F$12)</f>
        <v>9.3272989176436347</v>
      </c>
      <c r="G16" s="4" cm="1">
        <f t="array" ref="G16">whan($B16, G$12)</f>
        <v>7.2470588406021772</v>
      </c>
      <c r="H16" s="4" cm="1">
        <f t="array" ref="H16">whan($B16, H$12)</f>
        <v>4.8541380494040993</v>
      </c>
      <c r="I16" s="4" cm="1">
        <f t="array" ref="I16">whan($B16, I$12)</f>
        <v>2.7449201210886196</v>
      </c>
      <c r="J16" s="4" cm="1">
        <f t="array" ref="J16">whan($B16, J$12)</f>
        <v>0.84204887648141646</v>
      </c>
      <c r="K16" s="4" cm="1">
        <f t="array" ref="K16">whan($B16, K$12)</f>
        <v>6.9479008772558429E-2</v>
      </c>
    </row>
    <row r="17" spans="1:11" x14ac:dyDescent="0.2">
      <c r="A17" s="4">
        <f t="shared" si="0"/>
        <v>42169.650342858222</v>
      </c>
      <c r="B17" s="4">
        <f t="shared" si="1"/>
        <v>2.3713737056616554E-5</v>
      </c>
      <c r="C17" s="6" cm="1">
        <f t="array" ref="C17">expint($B17)</f>
        <v>10.072264103693772</v>
      </c>
      <c r="D17" s="7" cm="1">
        <f t="array" ref="D17">wtheis($B17)</f>
        <v>10.072263768693931</v>
      </c>
      <c r="E17" s="9" cm="1">
        <f t="array" ref="E17">whan($B17, E$12)</f>
        <v>10.072264103693772</v>
      </c>
      <c r="F17" s="4" cm="1">
        <f t="array" ref="F17">whan($B17, F$12)</f>
        <v>9.2420290982993514</v>
      </c>
      <c r="G17" s="4" cm="1">
        <f t="array" ref="G17">whan($B17, G$12)</f>
        <v>7.2470518004250577</v>
      </c>
      <c r="H17" s="4" cm="1">
        <f t="array" ref="H17">whan($B17, H$12)</f>
        <v>4.8541380494041002</v>
      </c>
      <c r="I17" s="4" cm="1">
        <f t="array" ref="I17">whan($B17, I$12)</f>
        <v>2.744920121088616</v>
      </c>
      <c r="J17" s="4" cm="1">
        <f t="array" ref="J17">whan($B17, J$12)</f>
        <v>0.84204887648141746</v>
      </c>
      <c r="K17" s="4" cm="1">
        <f t="array" ref="K17">whan($B17, K$12)</f>
        <v>6.9479008772558443E-2</v>
      </c>
    </row>
    <row r="18" spans="1:11" x14ac:dyDescent="0.2">
      <c r="A18" s="4">
        <f t="shared" si="0"/>
        <v>31622.776601683792</v>
      </c>
      <c r="B18" s="4">
        <f t="shared" si="1"/>
        <v>3.1622776601683795E-5</v>
      </c>
      <c r="C18" s="6" cm="1">
        <f t="array" ref="C18">expint($B18)</f>
        <v>9.7844488759667065</v>
      </c>
      <c r="D18" s="7" cm="1">
        <f t="array" ref="D18">wtheis($B18)</f>
        <v>9.7844485409998097</v>
      </c>
      <c r="E18" s="9" cm="1">
        <f t="array" ref="E18">whan($B18, E$12)</f>
        <v>9.7844488759667065</v>
      </c>
      <c r="F18" s="4" cm="1">
        <f t="array" ref="F18">whan($B18, F$12)</f>
        <v>9.1265473061078133</v>
      </c>
      <c r="G18" s="4" cm="1">
        <f t="array" ref="G18">whan($B18, G$12)</f>
        <v>7.2469576741582209</v>
      </c>
      <c r="H18" s="4" cm="1">
        <f t="array" ref="H18">whan($B18, H$12)</f>
        <v>4.8541380494041046</v>
      </c>
      <c r="I18" s="4" cm="1">
        <f t="array" ref="I18">whan($B18, I$12)</f>
        <v>2.7449201210886183</v>
      </c>
      <c r="J18" s="4" cm="1">
        <f t="array" ref="J18">whan($B18, J$12)</f>
        <v>0.84204887648141691</v>
      </c>
      <c r="K18" s="4" cm="1">
        <f t="array" ref="K18">whan($B18, K$12)</f>
        <v>6.9479008772558443E-2</v>
      </c>
    </row>
    <row r="19" spans="1:11" x14ac:dyDescent="0.2">
      <c r="A19" s="4">
        <f t="shared" si="0"/>
        <v>23713.737056616552</v>
      </c>
      <c r="B19" s="4">
        <f t="shared" si="1"/>
        <v>4.2169650342858229E-5</v>
      </c>
      <c r="C19" s="6" cm="1">
        <f t="array" ref="C19">expint($B19)</f>
        <v>9.4966362859776492</v>
      </c>
      <c r="D19" s="7" cm="1">
        <f t="array" ref="D19">wtheis($B19)</f>
        <v>9.4966359510547242</v>
      </c>
      <c r="E19" s="9" cm="1">
        <f t="array" ref="E19">whan($B19, E$12)</f>
        <v>9.4966362859776492</v>
      </c>
      <c r="F19" s="4" cm="1">
        <f t="array" ref="F19">whan($B19, F$12)</f>
        <v>8.9815140684094228</v>
      </c>
      <c r="G19" s="4" cm="1">
        <f t="array" ref="G19">whan($B19, G$12)</f>
        <v>7.2462834240921303</v>
      </c>
      <c r="H19" s="4" cm="1">
        <f t="array" ref="H19">whan($B19, H$12)</f>
        <v>4.854138049404094</v>
      </c>
      <c r="I19" s="4" cm="1">
        <f t="array" ref="I19">whan($B19, I$12)</f>
        <v>2.7449201210886196</v>
      </c>
      <c r="J19" s="4" cm="1">
        <f t="array" ref="J19">whan($B19, J$12)</f>
        <v>0.8420488764814178</v>
      </c>
      <c r="K19" s="4" cm="1">
        <f t="array" ref="K19">whan($B19, K$12)</f>
        <v>6.9479008772558415E-2</v>
      </c>
    </row>
    <row r="20" spans="1:11" x14ac:dyDescent="0.2">
      <c r="A20" s="4">
        <f t="shared" si="0"/>
        <v>17782.794100389227</v>
      </c>
      <c r="B20" s="4">
        <f t="shared" si="1"/>
        <v>5.6234132519034914E-5</v>
      </c>
      <c r="C20" s="6" cm="1">
        <f t="array" ref="C20">expint($B20)</f>
        <v>9.2088272134309843</v>
      </c>
      <c r="D20" s="7" cm="1">
        <f t="array" ref="D20">wtheis($B20)</f>
        <v>9.2088268785666543</v>
      </c>
      <c r="E20" s="9" cm="1">
        <f t="array" ref="E20">whan($B20, E$12)</f>
        <v>9.2088272134309843</v>
      </c>
      <c r="F20" s="4" cm="1">
        <f t="array" ref="F20">whan($B20, F$12)</f>
        <v>8.8094174015605127</v>
      </c>
      <c r="G20" s="4" cm="1">
        <f t="array" ref="G20">whan($B20, G$12)</f>
        <v>7.243285372477378</v>
      </c>
      <c r="H20" s="4" cm="1">
        <f t="array" ref="H20">whan($B20, H$12)</f>
        <v>4.8541380494040967</v>
      </c>
      <c r="I20" s="4" cm="1">
        <f t="array" ref="I20">whan($B20, I$12)</f>
        <v>2.7449201210886192</v>
      </c>
      <c r="J20" s="4" cm="1">
        <f t="array" ref="J20">whan($B20, J$12)</f>
        <v>0.84204887648141646</v>
      </c>
      <c r="K20" s="4" cm="1">
        <f t="array" ref="K20">whan($B20, K$12)</f>
        <v>6.9479008772558415E-2</v>
      </c>
    </row>
    <row r="21" spans="1:11" x14ac:dyDescent="0.2">
      <c r="A21" s="4">
        <f t="shared" si="0"/>
        <v>13335.214321633241</v>
      </c>
      <c r="B21" s="4">
        <f t="shared" si="1"/>
        <v>7.4989420933245586E-5</v>
      </c>
      <c r="C21" s="6" cm="1">
        <f t="array" ref="C21">expint($B21)</f>
        <v>8.9210228314017446</v>
      </c>
      <c r="D21" s="7" cm="1">
        <f t="array" ref="D21">wtheis($B21)</f>
        <v>8.9210224966155405</v>
      </c>
      <c r="E21" s="9" cm="1">
        <f t="array" ref="E21">whan($B21, E$12)</f>
        <v>8.9210228314017446</v>
      </c>
      <c r="F21" s="4" cm="1">
        <f t="array" ref="F21">whan($B21, F$12)</f>
        <v>8.6137367937444616</v>
      </c>
      <c r="G21" s="4" cm="1">
        <f t="array" ref="G21">whan($B21, G$12)</f>
        <v>7.234019136142142</v>
      </c>
      <c r="H21" s="4" cm="1">
        <f t="array" ref="H21">whan($B21, H$12)</f>
        <v>4.8541380494040958</v>
      </c>
      <c r="I21" s="4" cm="1">
        <f t="array" ref="I21">whan($B21, I$12)</f>
        <v>2.7449201210886232</v>
      </c>
      <c r="J21" s="4" cm="1">
        <f t="array" ref="J21">whan($B21, J$12)</f>
        <v>0.84204887648141569</v>
      </c>
      <c r="K21" s="4" cm="1">
        <f t="array" ref="K21">whan($B21, K$12)</f>
        <v>6.9479008772558346E-2</v>
      </c>
    </row>
    <row r="22" spans="1:11" s="1" customFormat="1" x14ac:dyDescent="0.2">
      <c r="A22" s="4">
        <f t="shared" si="0"/>
        <v>10000</v>
      </c>
      <c r="B22" s="4">
        <f t="shared" si="1"/>
        <v>1E-4</v>
      </c>
      <c r="C22" s="6" cm="1">
        <f t="array" ref="C22">expint($B22)</f>
        <v>8.6332247041582431</v>
      </c>
      <c r="D22" s="7" cm="1">
        <f t="array" ref="D22">wtheis($B22)</f>
        <v>8.6332243694762365</v>
      </c>
      <c r="E22" s="9" cm="1">
        <f t="array" ref="E22">whan($B22, E$12)</f>
        <v>8.6332247041582431</v>
      </c>
      <c r="F22" s="4" cm="1">
        <f t="array" ref="F22">whan($B22, F$12)</f>
        <v>8.3982594081121444</v>
      </c>
      <c r="G22" s="4" cm="1">
        <f t="array" ref="G22">whan($B22, G$12)</f>
        <v>7.2123007090621867</v>
      </c>
      <c r="H22" s="4" cm="1">
        <f t="array" ref="H22">whan($B22, H$12)</f>
        <v>4.8541380494035646</v>
      </c>
      <c r="I22" s="4" cm="1">
        <f t="array" ref="I22">whan($B22, I$12)</f>
        <v>2.7449201210886152</v>
      </c>
      <c r="J22" s="4" cm="1">
        <f t="array" ref="J22">whan($B22, J$12)</f>
        <v>0.8420488764814168</v>
      </c>
      <c r="K22" s="4" cm="1">
        <f t="array" ref="K22">whan($B22, K$12)</f>
        <v>6.9479008772558512E-2</v>
      </c>
    </row>
    <row r="23" spans="1:11" x14ac:dyDescent="0.2">
      <c r="A23" s="4">
        <f t="shared" si="0"/>
        <v>7498.9420933245583</v>
      </c>
      <c r="B23" s="4">
        <f t="shared" si="1"/>
        <v>1.333521432163324E-4</v>
      </c>
      <c r="C23" s="6" cm="1">
        <f t="array" ref="C23">expint($B23)</f>
        <v>8.3454349175926161</v>
      </c>
      <c r="D23" s="7" cm="1">
        <f t="array" ref="D23">wtheis($B23)</f>
        <v>8.3454345830495757</v>
      </c>
      <c r="E23" s="9" cm="1">
        <f t="array" ref="E23">whan($B23, E$12)</f>
        <v>8.3454349175926161</v>
      </c>
      <c r="F23" s="4" cm="1">
        <f t="array" ref="F23">whan($B23, F$12)</f>
        <v>8.1666263945961752</v>
      </c>
      <c r="G23" s="4" cm="1">
        <f t="array" ref="G23">whan($B23, G$12)</f>
        <v>7.1710305032680894</v>
      </c>
      <c r="H23" s="4" cm="1">
        <f t="array" ref="H23">whan($B23, H$12)</f>
        <v>4.8541380490385819</v>
      </c>
      <c r="I23" s="4" cm="1">
        <f t="array" ref="I23">whan($B23, I$12)</f>
        <v>2.744920121088616</v>
      </c>
      <c r="J23" s="4" cm="1">
        <f t="array" ref="J23">whan($B23, J$12)</f>
        <v>0.84204887648141724</v>
      </c>
      <c r="K23" s="4" cm="1">
        <f t="array" ref="K23">whan($B23, K$12)</f>
        <v>6.9479008772558415E-2</v>
      </c>
    </row>
    <row r="24" spans="1:11" x14ac:dyDescent="0.2">
      <c r="A24" s="4">
        <f t="shared" si="0"/>
        <v>5623.4132519034911</v>
      </c>
      <c r="B24" s="4">
        <f t="shared" si="1"/>
        <v>1.7782794100389227E-4</v>
      </c>
      <c r="C24" s="6" cm="1">
        <f t="array" ref="C24">expint($B24)</f>
        <v>8.057656253121074</v>
      </c>
      <c r="D24" s="7" cm="1">
        <f t="array" ref="D24">wtheis($B24)</f>
        <v>8.0576559187632935</v>
      </c>
      <c r="E24" s="9" cm="1">
        <f t="array" ref="E24">whan($B24, E$12)</f>
        <v>8.057656253121074</v>
      </c>
      <c r="F24" s="4" cm="1">
        <f t="array" ref="F24">whan($B24, F$12)</f>
        <v>7.9220868279132404</v>
      </c>
      <c r="G24" s="4" cm="1">
        <f t="array" ref="G24">whan($B24, G$12)</f>
        <v>7.104117114683433</v>
      </c>
      <c r="H24" s="4" cm="1">
        <f t="array" ref="H24">whan($B24, H$12)</f>
        <v>4.8541379971722565</v>
      </c>
      <c r="I24" s="4" cm="1">
        <f t="array" ref="I24">whan($B24, I$12)</f>
        <v>2.744920121088624</v>
      </c>
      <c r="J24" s="4" cm="1">
        <f t="array" ref="J24">whan($B24, J$12)</f>
        <v>0.84204887648141746</v>
      </c>
      <c r="K24" s="4" cm="1">
        <f t="array" ref="K24">whan($B24, K$12)</f>
        <v>6.9479008772558401E-2</v>
      </c>
    </row>
    <row r="25" spans="1:11" x14ac:dyDescent="0.2">
      <c r="A25" s="4">
        <f t="shared" si="0"/>
        <v>4216.9650342858231</v>
      </c>
      <c r="B25" s="4">
        <f t="shared" si="1"/>
        <v>2.3713737056616551E-4</v>
      </c>
      <c r="C25" s="6" cm="1">
        <f t="array" ref="C25">expint($B25)</f>
        <v>7.7698924195269594</v>
      </c>
      <c r="D25" s="7" cm="1">
        <f t="array" ref="D25">wtheis($B25)</f>
        <v>7.7698920854161901</v>
      </c>
      <c r="E25" s="9" cm="1">
        <f t="array" ref="E25">whan($B25, E$12)</f>
        <v>7.7698924195269594</v>
      </c>
      <c r="F25" s="4" cm="1">
        <f t="array" ref="F25">whan($B25, F$12)</f>
        <v>7.667401371669655</v>
      </c>
      <c r="G25" s="4" cm="1">
        <f t="array" ref="G25">whan($B25, G$12)</f>
        <v>7.0078789482792061</v>
      </c>
      <c r="H25" s="4" cm="1">
        <f t="array" ref="H25">whan($B25, H$12)</f>
        <v>4.8541357494388357</v>
      </c>
      <c r="I25" s="4" cm="1">
        <f t="array" ref="I25">whan($B25, I$12)</f>
        <v>2.7449201210886223</v>
      </c>
      <c r="J25" s="4" cm="1">
        <f t="array" ref="J25">whan($B25, J$12)</f>
        <v>0.84204887648141846</v>
      </c>
      <c r="K25" s="4" cm="1">
        <f t="array" ref="K25">whan($B25, K$12)</f>
        <v>6.9479008772558401E-2</v>
      </c>
    </row>
    <row r="26" spans="1:11" x14ac:dyDescent="0.2">
      <c r="A26" s="4">
        <f t="shared" si="0"/>
        <v>3162.27766016838</v>
      </c>
      <c r="B26" s="4">
        <f t="shared" si="1"/>
        <v>3.1622776601683789E-4</v>
      </c>
      <c r="C26" s="6" cm="1">
        <f t="array" ref="C26">expint($B26)</f>
        <v>7.4821483620283367</v>
      </c>
      <c r="D26" s="7" cm="1">
        <f t="array" ref="D26">wtheis($B26)</f>
        <v>7.4821480282469333</v>
      </c>
      <c r="E26" s="9" cm="1">
        <f t="array" ref="E26">whan($B26, E$12)</f>
        <v>7.4821483620283367</v>
      </c>
      <c r="F26" s="4" cm="1">
        <f t="array" ref="F26">whan($B26, F$12)</f>
        <v>7.4048382521710643</v>
      </c>
      <c r="G26" s="4" cm="1">
        <f t="array" ref="G26">whan($B26, G$12)</f>
        <v>6.8814189091809181</v>
      </c>
      <c r="H26" s="4" cm="1">
        <f t="array" ref="H26">whan($B26, H$12)</f>
        <v>4.8540962358909798</v>
      </c>
      <c r="I26" s="4" cm="1">
        <f t="array" ref="I26">whan($B26, I$12)</f>
        <v>2.7449201210886129</v>
      </c>
      <c r="J26" s="4" cm="1">
        <f t="array" ref="J26">whan($B26, J$12)</f>
        <v>0.8420488764814168</v>
      </c>
      <c r="K26" s="4" cm="1">
        <f t="array" ref="K26">whan($B26, K$12)</f>
        <v>6.947900877255847E-2</v>
      </c>
    </row>
    <row r="27" spans="1:11" x14ac:dyDescent="0.2">
      <c r="A27" s="4">
        <f t="shared" si="0"/>
        <v>2371.3737056616555</v>
      </c>
      <c r="B27" s="4">
        <f t="shared" si="1"/>
        <v>4.2169650342858218E-4</v>
      </c>
      <c r="C27" s="6" cm="1">
        <f t="array" ref="C27">expint($B27)</f>
        <v>7.1944306742477835</v>
      </c>
      <c r="D27" s="7" cm="1">
        <f t="array" ref="D27">wtheis($B27)</f>
        <v>7.1944303409055133</v>
      </c>
      <c r="E27" s="9" cm="1">
        <f t="array" ref="E27">whan($B27, E$12)</f>
        <v>7.1944306742477835</v>
      </c>
      <c r="F27" s="4" cm="1">
        <f t="array" ref="F27">whan($B27, F$12)</f>
        <v>7.13621789753262</v>
      </c>
      <c r="G27" s="4" cm="1">
        <f t="array" ref="G27">whan($B27, G$12)</f>
        <v>6.7261713752024006</v>
      </c>
      <c r="H27" s="4" cm="1">
        <f t="array" ref="H27">whan($B27, H$12)</f>
        <v>4.8537473424764253</v>
      </c>
      <c r="I27" s="4" cm="1">
        <f t="array" ref="I27">whan($B27, I$12)</f>
        <v>2.7449201210886249</v>
      </c>
      <c r="J27" s="4" cm="1">
        <f t="array" ref="J27">whan($B27, J$12)</f>
        <v>0.84204887648141824</v>
      </c>
      <c r="K27" s="4" cm="1">
        <f t="array" ref="K27">whan($B27, K$12)</f>
        <v>6.9479008772558498E-2</v>
      </c>
    </row>
    <row r="28" spans="1:11" x14ac:dyDescent="0.2">
      <c r="A28" s="4">
        <f t="shared" si="0"/>
        <v>1778.2794100389231</v>
      </c>
      <c r="B28" s="4">
        <f t="shared" si="1"/>
        <v>5.6234132519034899E-4</v>
      </c>
      <c r="C28" s="6" cm="1">
        <f t="array" ref="C28">expint($B28)</f>
        <v>6.9067481472655823</v>
      </c>
      <c r="D28" s="7" cm="1">
        <f t="array" ref="D28">wtheis($B28)</f>
        <v>6.9067478145087771</v>
      </c>
      <c r="E28" s="9" cm="1">
        <f t="array" ref="E28">whan($B28, E$12)</f>
        <v>6.9067481472655823</v>
      </c>
      <c r="F28" s="4" cm="1">
        <f t="array" ref="F28">whan($B28, F$12)</f>
        <v>6.862977715412736</v>
      </c>
      <c r="G28" s="4" cm="1">
        <f t="array" ref="G28">whan($B28, G$12)</f>
        <v>6.5450880502729278</v>
      </c>
      <c r="H28" s="4" cm="1">
        <f t="array" ref="H28">whan($B28, H$12)</f>
        <v>4.8519273270101442</v>
      </c>
      <c r="I28" s="4" cm="1">
        <f t="array" ref="I28">whan($B28, I$12)</f>
        <v>2.744920121088616</v>
      </c>
      <c r="J28" s="4" cm="1">
        <f t="array" ref="J28">whan($B28, J$12)</f>
        <v>0.84204887648141735</v>
      </c>
      <c r="K28" s="4" cm="1">
        <f t="array" ref="K28">whan($B28, K$12)</f>
        <v>6.9479008772558429E-2</v>
      </c>
    </row>
    <row r="29" spans="1:11" x14ac:dyDescent="0.2">
      <c r="A29" s="4">
        <f t="shared" si="0"/>
        <v>1333.5214321633243</v>
      </c>
      <c r="B29" s="4">
        <f t="shared" si="1"/>
        <v>7.4989420933245564E-4</v>
      </c>
      <c r="C29" s="6" cm="1">
        <f t="array" ref="C29">expint($B29)</f>
        <v>6.6191125012301919</v>
      </c>
      <c r="D29" s="7" cm="1">
        <f t="array" ref="D29">wtheis($B29)</f>
        <v>6.6191121692538184</v>
      </c>
      <c r="E29" s="9" cm="1">
        <f t="array" ref="E29">whan($B29, E$12)</f>
        <v>6.6191125012301919</v>
      </c>
      <c r="F29" s="4" cm="1">
        <f t="array" ref="F29">whan($B29, F$12)</f>
        <v>6.5862404655393254</v>
      </c>
      <c r="G29" s="4" cm="1">
        <f t="array" ref="G29">whan($B29, G$12)</f>
        <v>6.3418395216946308</v>
      </c>
      <c r="H29" s="4" cm="1">
        <f t="array" ref="H29">whan($B29, H$12)</f>
        <v>4.845574435059449</v>
      </c>
      <c r="I29" s="4" cm="1">
        <f t="array" ref="I29">whan($B29, I$12)</f>
        <v>2.7449201210886156</v>
      </c>
      <c r="J29" s="4" cm="1">
        <f t="array" ref="J29">whan($B29, J$12)</f>
        <v>0.84204887648141746</v>
      </c>
      <c r="K29" s="4" cm="1">
        <f t="array" ref="K29">whan($B29, K$12)</f>
        <v>6.9479008772558457E-2</v>
      </c>
    </row>
    <row r="30" spans="1:11" s="1" customFormat="1" x14ac:dyDescent="0.2">
      <c r="A30" s="4">
        <f t="shared" si="0"/>
        <v>1000.0000000000002</v>
      </c>
      <c r="B30" s="4">
        <f t="shared" si="1"/>
        <v>9.999999999999998E-4</v>
      </c>
      <c r="C30" s="6" cm="1">
        <f t="array" ref="C30">expint($B30)</f>
        <v>6.3315393599737693</v>
      </c>
      <c r="D30" s="7" cm="1">
        <f t="array" ref="D30">wtheis($B30)</f>
        <v>6.3315390290376818</v>
      </c>
      <c r="E30" s="9" cm="1">
        <f t="array" ref="E30">whan($B30, E$12)</f>
        <v>6.3315393599737693</v>
      </c>
      <c r="F30" s="4" cm="1">
        <f t="array" ref="F30">whan($B30, F$12)</f>
        <v>6.3068778135739603</v>
      </c>
      <c r="G30" s="4" cm="1">
        <f t="array" ref="G30">whan($B30, G$12)</f>
        <v>6.1202144954644959</v>
      </c>
      <c r="H30" s="4" cm="1">
        <f t="array" ref="H30">whan($B30, H$12)</f>
        <v>4.8292437749487966</v>
      </c>
      <c r="I30" s="4" cm="1">
        <f t="array" ref="I30">whan($B30, I$12)</f>
        <v>2.7449201210814396</v>
      </c>
      <c r="J30" s="4" cm="1">
        <f t="array" ref="J30">whan($B30, J$12)</f>
        <v>0.8420488764814158</v>
      </c>
      <c r="K30" s="4" cm="1">
        <f t="array" ref="K30">whan($B30, K$12)</f>
        <v>6.9479008772558498E-2</v>
      </c>
    </row>
    <row r="31" spans="1:11" x14ac:dyDescent="0.2">
      <c r="A31" s="4">
        <f t="shared" si="0"/>
        <v>749.89420933245606</v>
      </c>
      <c r="B31" s="4">
        <f t="shared" si="1"/>
        <v>1.3335214321633236E-3</v>
      </c>
      <c r="C31" s="6" cm="1">
        <f t="array" ref="C31">expint($B31)</f>
        <v>6.0440495489015351</v>
      </c>
      <c r="D31" s="7" cm="1">
        <f t="array" ref="D31">wtheis($B31)</f>
        <v>6.0440492193519013</v>
      </c>
      <c r="E31" s="9" cm="1">
        <f t="array" ref="E31">whan($B31, E$12)</f>
        <v>6.0440495489015351</v>
      </c>
      <c r="F31" s="4" cm="1">
        <f t="array" ref="F31">whan($B31, F$12)</f>
        <v>6.0255656235339465</v>
      </c>
      <c r="G31" s="4" cm="1">
        <f t="array" ref="G31">whan($B31, G$12)</f>
        <v>5.8837488363267418</v>
      </c>
      <c r="H31" s="4" cm="1">
        <f t="array" ref="H31">whan($B31, H$12)</f>
        <v>4.7959660792272034</v>
      </c>
      <c r="I31" s="4" cm="1">
        <f t="array" ref="I31">whan($B31, I$12)</f>
        <v>2.7449201184567262</v>
      </c>
      <c r="J31" s="4" cm="1">
        <f t="array" ref="J31">whan($B31, J$12)</f>
        <v>0.84204887648141669</v>
      </c>
      <c r="K31" s="4" cm="1">
        <f t="array" ref="K31">whan($B31, K$12)</f>
        <v>6.9479008772558429E-2</v>
      </c>
    </row>
    <row r="32" spans="1:11" x14ac:dyDescent="0.2">
      <c r="A32" s="4">
        <f t="shared" si="0"/>
        <v>562.34132519034927</v>
      </c>
      <c r="B32" s="4">
        <f t="shared" si="1"/>
        <v>1.7782794100389221E-3</v>
      </c>
      <c r="C32" s="6" cm="1">
        <f t="array" ref="C32">expint($B32)</f>
        <v>5.7566708225887977</v>
      </c>
      <c r="D32" s="7" cm="1">
        <f t="array" ref="D32">wtheis($B32)</f>
        <v>5.7566704948865572</v>
      </c>
      <c r="E32" s="9" cm="1">
        <f t="array" ref="E32">whan($B32, E$12)</f>
        <v>5.7566708225887977</v>
      </c>
      <c r="F32" s="4" cm="1">
        <f t="array" ref="F32">whan($B32, F$12)</f>
        <v>5.7428303242163805</v>
      </c>
      <c r="G32" s="4" cm="1">
        <f t="array" ref="G32">whan($B32, G$12)</f>
        <v>5.6355430334946996</v>
      </c>
      <c r="H32" s="4" cm="1">
        <f t="array" ref="H32">whan($B32, H$12)</f>
        <v>4.7390938967496394</v>
      </c>
      <c r="I32" s="4" cm="1">
        <f t="array" ref="I32">whan($B32, I$12)</f>
        <v>2.7449198862185402</v>
      </c>
      <c r="J32" s="4" cm="1">
        <f t="array" ref="J32">whan($B32, J$12)</f>
        <v>0.84204887648141713</v>
      </c>
      <c r="K32" s="4" cm="1">
        <f t="array" ref="K32">whan($B32, K$12)</f>
        <v>6.9479008772558457E-2</v>
      </c>
    </row>
    <row r="33" spans="1:11" x14ac:dyDescent="0.2">
      <c r="A33" s="4">
        <f t="shared" si="0"/>
        <v>421.69650342858245</v>
      </c>
      <c r="B33" s="4">
        <f t="shared" si="1"/>
        <v>2.3713737056616541E-3</v>
      </c>
      <c r="C33" s="6" cm="1">
        <f t="array" ref="C33">expint($B33)</f>
        <v>5.4694401629434841</v>
      </c>
      <c r="D33" s="7" cm="1">
        <f t="array" ref="D33">wtheis($B33)</f>
        <v>5.469439837702236</v>
      </c>
      <c r="E33" s="9" cm="1">
        <f t="array" ref="E33">whan($B33, E$12)</f>
        <v>5.4694401629434841</v>
      </c>
      <c r="F33" s="4" cm="1">
        <f t="array" ref="F33">whan($B33, F$12)</f>
        <v>5.459087090398139</v>
      </c>
      <c r="G33" s="4" cm="1">
        <f t="array" ref="G33">whan($B33, G$12)</f>
        <v>5.3782077587155941</v>
      </c>
      <c r="H33" s="4" cm="1">
        <f t="array" ref="H33">whan($B33, H$12)</f>
        <v>4.6539993005936475</v>
      </c>
      <c r="I33" s="4" cm="1">
        <f t="array" ref="I33">whan($B33, I$12)</f>
        <v>2.7449128613164606</v>
      </c>
      <c r="J33" s="4" cm="1">
        <f t="array" ref="J33">whan($B33, J$12)</f>
        <v>0.84204887648141613</v>
      </c>
      <c r="K33" s="4" cm="1">
        <f t="array" ref="K33">whan($B33, K$12)</f>
        <v>6.9479008772558415E-2</v>
      </c>
    </row>
    <row r="34" spans="1:11" x14ac:dyDescent="0.2">
      <c r="A34" s="4">
        <f t="shared" si="0"/>
        <v>316.22776601683807</v>
      </c>
      <c r="B34" s="4">
        <f t="shared" si="1"/>
        <v>3.1622776601683777E-3</v>
      </c>
      <c r="C34" s="6" cm="1">
        <f t="array" ref="C34">expint($B34)</f>
        <v>5.1824068338650724</v>
      </c>
      <c r="D34" s="7" cm="1">
        <f t="array" ref="D34">wtheis($B34)</f>
        <v>5.1824065119010623</v>
      </c>
      <c r="E34" s="9" cm="1">
        <f t="array" ref="E34">whan($B34, E$12)</f>
        <v>5.1824068338650724</v>
      </c>
      <c r="F34" s="4" cm="1">
        <f t="array" ref="F34">whan($B34, F$12)</f>
        <v>5.1746711930227107</v>
      </c>
      <c r="G34" s="4" cm="1">
        <f t="array" ref="G34">whan($B34, G$12)</f>
        <v>5.1138846000178289</v>
      </c>
      <c r="H34" s="4" cm="1">
        <f t="array" ref="H34">whan($B34, H$12)</f>
        <v>4.5388332002607719</v>
      </c>
      <c r="I34" s="4" cm="1">
        <f t="array" ref="I34">whan($B34, I$12)</f>
        <v>2.7448190039099263</v>
      </c>
      <c r="J34" s="4" cm="1">
        <f t="array" ref="J34">whan($B34, J$12)</f>
        <v>0.8420488764814188</v>
      </c>
      <c r="K34" s="4" cm="1">
        <f t="array" ref="K34">whan($B34, K$12)</f>
        <v>6.9479008772558512E-2</v>
      </c>
    </row>
    <row r="35" spans="1:11" x14ac:dyDescent="0.2">
      <c r="A35" s="4">
        <f t="shared" si="0"/>
        <v>237.13737056616566</v>
      </c>
      <c r="B35" s="4">
        <f t="shared" si="1"/>
        <v>4.2169650342858203E-3</v>
      </c>
      <c r="C35" s="6" cm="1">
        <f t="array" ref="C35">expint($B35)</f>
        <v>4.895636436961242</v>
      </c>
      <c r="D35" s="7" cm="1">
        <f t="array" ref="D35">wtheis($B35)</f>
        <v>4.8956361193594047</v>
      </c>
      <c r="E35" s="9" cm="1">
        <f t="array" ref="E35">whan($B35, E$12)</f>
        <v>4.895636436961242</v>
      </c>
      <c r="F35" s="4" cm="1">
        <f t="array" ref="F35">whan($B35, F$12)</f>
        <v>4.8898640675128711</v>
      </c>
      <c r="G35" s="4" cm="1">
        <f t="array" ref="G35">whan($B35, G$12)</f>
        <v>4.8443042731428942</v>
      </c>
      <c r="H35" s="4" cm="1">
        <f t="array" ref="H35">whan($B35, H$12)</f>
        <v>4.3943276088226018</v>
      </c>
      <c r="I35" s="4" cm="1">
        <f t="array" ref="I35">whan($B35, I$12)</f>
        <v>2.7441472930493336</v>
      </c>
      <c r="J35" s="4" cm="1">
        <f t="array" ref="J35">whan($B35, J$12)</f>
        <v>0.84204887648141746</v>
      </c>
      <c r="K35" s="4" cm="1">
        <f t="array" ref="K35">whan($B35, K$12)</f>
        <v>6.9479008772558415E-2</v>
      </c>
    </row>
    <row r="36" spans="1:11" x14ac:dyDescent="0.2">
      <c r="A36" s="4">
        <f t="shared" si="0"/>
        <v>177.82794100389239</v>
      </c>
      <c r="B36" s="4">
        <f t="shared" si="1"/>
        <v>5.6234132519034875E-3</v>
      </c>
      <c r="C36" s="6" cm="1">
        <f t="array" ref="C36">expint($B36)</f>
        <v>4.6092162884623793</v>
      </c>
      <c r="D36" s="7" cm="1">
        <f t="array" ref="D36">wtheis($B36)</f>
        <v>4.609215976663271</v>
      </c>
      <c r="E36" s="9" cm="1">
        <f t="array" ref="E36">whan($B36, E$12)</f>
        <v>4.6092162884623793</v>
      </c>
      <c r="F36" s="4" cm="1">
        <f t="array" ref="F36">whan($B36, F$12)</f>
        <v>4.6049156502305859</v>
      </c>
      <c r="G36" s="4" cm="1">
        <f t="array" ref="G36">whan($B36, G$12)</f>
        <v>4.5708589035286868</v>
      </c>
      <c r="H36" s="4" cm="1">
        <f t="array" ref="H36">whan($B36, H$12)</f>
        <v>4.2230643827039263</v>
      </c>
      <c r="I36" s="4" cm="1">
        <f t="array" ref="I36">whan($B36, I$12)</f>
        <v>2.7411641534474809</v>
      </c>
      <c r="J36" s="4" cm="1">
        <f t="array" ref="J36">whan($B36, J$12)</f>
        <v>0.84204887648141669</v>
      </c>
      <c r="K36" s="4" cm="1">
        <f t="array" ref="K36">whan($B36, K$12)</f>
        <v>6.9479008772558415E-2</v>
      </c>
    </row>
    <row r="37" spans="1:11" x14ac:dyDescent="0.2">
      <c r="A37" s="4">
        <f t="shared" si="0"/>
        <v>133.35214321633248</v>
      </c>
      <c r="B37" s="4">
        <f t="shared" si="1"/>
        <v>7.4989420933245536E-3</v>
      </c>
      <c r="C37" s="6" cm="1">
        <f t="array" ref="C37">expint($B37)</f>
        <v>4.3232625336536765</v>
      </c>
      <c r="D37" s="7" cm="1">
        <f t="array" ref="D37">wtheis($B37)</f>
        <v>4.3232622295671854</v>
      </c>
      <c r="E37" s="9" cm="1">
        <f t="array" ref="E37">whan($B37, E$12)</f>
        <v>4.3232625336536765</v>
      </c>
      <c r="F37" s="4" cm="1">
        <f t="array" ref="F37">whan($B37, F$12)</f>
        <v>4.3200644677427498</v>
      </c>
      <c r="G37" s="4" cm="1">
        <f t="array" ref="G37">whan($B37, G$12)</f>
        <v>4.2946756014009502</v>
      </c>
      <c r="H37" s="4" cm="1">
        <f t="array" ref="H37">whan($B37, H$12)</f>
        <v>4.0286453564196547</v>
      </c>
      <c r="I37" s="4" cm="1">
        <f t="array" ref="I37">whan($B37, I$12)</f>
        <v>2.7319588889895359</v>
      </c>
      <c r="J37" s="4" cm="1">
        <f t="array" ref="J37">whan($B37, J$12)</f>
        <v>0.8420488764814178</v>
      </c>
      <c r="K37" s="4" cm="1">
        <f t="array" ref="K37">whan($B37, K$12)</f>
        <v>6.947900877255847E-2</v>
      </c>
    </row>
    <row r="38" spans="1:11" s="1" customFormat="1" x14ac:dyDescent="0.2">
      <c r="A38" s="4">
        <f t="shared" si="0"/>
        <v>100.00000000000007</v>
      </c>
      <c r="B38" s="4">
        <f t="shared" si="1"/>
        <v>9.9999999999999933E-3</v>
      </c>
      <c r="C38" s="6" cm="1">
        <f t="array" ref="C38">expint($B38)</f>
        <v>4.0379295352862075</v>
      </c>
      <c r="D38" s="7" cm="1">
        <f t="array" ref="D38">wtheis($B38)</f>
        <v>4.037929241439481</v>
      </c>
      <c r="E38" s="9" cm="1">
        <f t="array" ref="E38">whan($B38, E$12)</f>
        <v>4.0379295352862075</v>
      </c>
      <c r="F38" s="4" cm="1">
        <f t="array" ref="F38">whan($B38, F$12)</f>
        <v>4.0355569005909899</v>
      </c>
      <c r="G38" s="4" cm="1">
        <f t="array" ref="G38">whan($B38, G$12)</f>
        <v>4.0166855203180516</v>
      </c>
      <c r="H38" s="4" cm="1">
        <f t="array" ref="H38">whan($B38, H$12)</f>
        <v>3.8150172917318712</v>
      </c>
      <c r="I38" s="4" cm="1">
        <f t="array" ref="I38">whan($B38, I$12)</f>
        <v>2.7104297647447879</v>
      </c>
      <c r="J38" s="4" cm="1">
        <f t="array" ref="J38">whan($B38, J$12)</f>
        <v>0.84204887648088778</v>
      </c>
      <c r="K38" s="4" cm="1">
        <f t="array" ref="K38">whan($B38, K$12)</f>
        <v>6.947900877255847E-2</v>
      </c>
    </row>
    <row r="39" spans="1:11" x14ac:dyDescent="0.2">
      <c r="A39" s="4">
        <f t="shared" si="0"/>
        <v>74.98942093324564</v>
      </c>
      <c r="B39" s="4">
        <f t="shared" si="1"/>
        <v>1.333521432163323E-2</v>
      </c>
      <c r="C39" s="6" cm="1">
        <f t="array" ref="C39">expint($B39)</f>
        <v>3.7534222183858037</v>
      </c>
      <c r="D39" s="7" cm="1">
        <f t="array" ref="D39">wtheis($B39)</f>
        <v>3.7534219381145015</v>
      </c>
      <c r="E39" s="9" cm="1">
        <f t="array" ref="E39">whan($B39, E$12)</f>
        <v>3.7534222183858037</v>
      </c>
      <c r="F39" s="4" cm="1">
        <f t="array" ref="F39">whan($B39, F$12)</f>
        <v>3.7516670159486529</v>
      </c>
      <c r="G39" s="4" cm="1">
        <f t="array" ref="G39">whan($B39, G$12)</f>
        <v>3.7376867730214092</v>
      </c>
      <c r="H39" s="4" cm="1">
        <f t="array" ref="H39">whan($B39, H$12)</f>
        <v>3.586030152710094</v>
      </c>
      <c r="I39" s="4" cm="1">
        <f t="array" ref="I39">whan($B39, I$12)</f>
        <v>2.6696365122885362</v>
      </c>
      <c r="J39" s="4" cm="1">
        <f t="array" ref="J39">whan($B39, J$12)</f>
        <v>0.84204887612046564</v>
      </c>
      <c r="K39" s="4" cm="1">
        <f t="array" ref="K39">whan($B39, K$12)</f>
        <v>6.9479008772558457E-2</v>
      </c>
    </row>
    <row r="40" spans="1:11" x14ac:dyDescent="0.2">
      <c r="A40" s="4">
        <f t="shared" si="0"/>
        <v>56.234132519034951</v>
      </c>
      <c r="B40" s="4">
        <f t="shared" si="1"/>
        <v>1.7782794100389215E-2</v>
      </c>
      <c r="C40" s="6" cm="1">
        <f t="array" ref="C40">expint($B40)</f>
        <v>3.470012223581306</v>
      </c>
      <c r="D40" s="7" cm="1">
        <f t="array" ref="D40">wtheis($B40)</f>
        <v>3.4700119612716107</v>
      </c>
      <c r="E40" s="9" cm="1">
        <f t="array" ref="E40">whan($B40, E$12)</f>
        <v>3.470012223581306</v>
      </c>
      <c r="F40" s="4" cm="1">
        <f t="array" ref="F40">whan($B40, F$12)</f>
        <v>3.4687183826083885</v>
      </c>
      <c r="G40" s="4" cm="1">
        <f t="array" ref="G40">whan($B40, G$12)</f>
        <v>3.4584019124081316</v>
      </c>
      <c r="H40" s="4" cm="1">
        <f t="array" ref="H40">whan($B40, H$12)</f>
        <v>3.345206977734859</v>
      </c>
      <c r="I40" s="4" cm="1">
        <f t="array" ref="I40">whan($B40, I$12)</f>
        <v>2.6037490115414523</v>
      </c>
      <c r="J40" s="4" cm="1">
        <f t="array" ref="J40">whan($B40, J$12)</f>
        <v>0.84204882510726697</v>
      </c>
      <c r="K40" s="4" cm="1">
        <f t="array" ref="K40">whan($B40, K$12)</f>
        <v>6.9479008772558401E-2</v>
      </c>
    </row>
    <row r="41" spans="1:11" x14ac:dyDescent="0.2">
      <c r="A41" s="4">
        <f t="shared" si="0"/>
        <v>42.169650342858255</v>
      </c>
      <c r="B41" s="4">
        <f t="shared" si="1"/>
        <v>2.3713737056616536E-2</v>
      </c>
      <c r="C41" s="6" cm="1">
        <f t="array" ref="C41">expint($B41)</f>
        <v>3.1880589040113518</v>
      </c>
      <c r="D41" s="7" cm="1">
        <f t="array" ref="D41">wtheis($B41)</f>
        <v>3.188058665404343</v>
      </c>
      <c r="E41" s="9" cm="1">
        <f t="array" ref="E41">whan($B41, E$12)</f>
        <v>3.1880589040113518</v>
      </c>
      <c r="F41" s="4" cm="1">
        <f t="array" ref="F41">whan($B41, F$12)</f>
        <v>3.1871093398675958</v>
      </c>
      <c r="G41" s="4" cm="1">
        <f t="array" ref="G41">whan($B41, G$12)</f>
        <v>3.1795318906224721</v>
      </c>
      <c r="H41" s="4" cm="1">
        <f t="array" ref="H41">whan($B41, H$12)</f>
        <v>3.0956683878527684</v>
      </c>
      <c r="I41" s="4" cm="1">
        <f t="array" ref="I41">whan($B41, I$12)</f>
        <v>2.5094685577332503</v>
      </c>
      <c r="J41" s="4" cm="1">
        <f t="array" ref="J41">whan($B41, J$12)</f>
        <v>0.84204662589899115</v>
      </c>
      <c r="K41" s="4" cm="1">
        <f t="array" ref="K41">whan($B41, K$12)</f>
        <v>6.9479008772558457E-2</v>
      </c>
    </row>
    <row r="42" spans="1:11" x14ac:dyDescent="0.2">
      <c r="A42" s="4">
        <f t="shared" si="0"/>
        <v>31.622776601683817</v>
      </c>
      <c r="B42" s="4">
        <f t="shared" si="1"/>
        <v>3.1622776601683771E-2</v>
      </c>
      <c r="C42" s="6" cm="1">
        <f t="array" ref="C42">expint($B42)</f>
        <v>2.9080363699882179</v>
      </c>
      <c r="D42" s="7" cm="1">
        <f t="array" ref="D42">wtheis($B42)</f>
        <v>2.9080361625497138</v>
      </c>
      <c r="E42" s="9" cm="1">
        <f t="array" ref="E42">whan($B42, E$12)</f>
        <v>2.9080363699882179</v>
      </c>
      <c r="F42" s="4" cm="1">
        <f t="array" ref="F42">whan($B42, F$12)</f>
        <v>2.9073432606518947</v>
      </c>
      <c r="G42" s="4" cm="1">
        <f t="array" ref="G42">whan($B42, G$12)</f>
        <v>2.9018089547911847</v>
      </c>
      <c r="H42" s="4" cm="1">
        <f t="array" ref="H42">whan($B42, H$12)</f>
        <v>2.840155440885463</v>
      </c>
      <c r="I42" s="4" cm="1">
        <f t="array" ref="I42">whan($B42, I$12)</f>
        <v>2.3864209485410028</v>
      </c>
      <c r="J42" s="4" cm="1">
        <f t="array" ref="J42">whan($B42, J$12)</f>
        <v>0.84200823141401393</v>
      </c>
      <c r="K42" s="4" cm="1">
        <f t="array" ref="K42">whan($B42, K$12)</f>
        <v>6.9479008772558401E-2</v>
      </c>
    </row>
    <row r="43" spans="1:11" x14ac:dyDescent="0.2">
      <c r="A43" s="4">
        <f t="shared" si="0"/>
        <v>23.713737056616569</v>
      </c>
      <c r="B43" s="4">
        <f t="shared" si="1"/>
        <v>4.2169650342858196E-2</v>
      </c>
      <c r="C43" s="6" cm="1">
        <f t="array" ref="C43">expint($B43)</f>
        <v>2.6305678833641544</v>
      </c>
      <c r="D43" s="7" cm="1">
        <f t="array" ref="D43">wtheis($B43)</f>
        <v>2.6305677167179646</v>
      </c>
      <c r="E43" s="9" cm="1">
        <f t="array" ref="E43">whan($B43, E$12)</f>
        <v>2.6305678833641544</v>
      </c>
      <c r="F43" s="4" cm="1">
        <f t="array" ref="F43">whan($B43, F$12)</f>
        <v>2.630065367902529</v>
      </c>
      <c r="G43" s="4" cm="1">
        <f t="array" ref="G43">whan($B43, G$12)</f>
        <v>2.6260510752240105</v>
      </c>
      <c r="H43" s="4" cm="1">
        <f t="array" ref="H43">whan($B43, H$12)</f>
        <v>2.5811084264942519</v>
      </c>
      <c r="I43" s="4" cm="1">
        <f t="array" ref="I43">whan($B43, I$12)</f>
        <v>2.236726732866579</v>
      </c>
      <c r="J43" s="4" cm="1">
        <f t="array" ref="J43">whan($B43, J$12)</f>
        <v>0.84167230359465006</v>
      </c>
      <c r="K43" s="4" cm="1">
        <f t="array" ref="K43">whan($B43, K$12)</f>
        <v>6.9479008772558443E-2</v>
      </c>
    </row>
    <row r="44" spans="1:11" x14ac:dyDescent="0.2">
      <c r="A44" s="4">
        <f t="shared" si="0"/>
        <v>17.782794100389239</v>
      </c>
      <c r="B44" s="4">
        <f t="shared" si="1"/>
        <v>5.623413251903487E-2</v>
      </c>
      <c r="C44" s="6" cm="1">
        <f t="array" ref="C44">expint($B44)</f>
        <v>2.3564688190425689</v>
      </c>
      <c r="D44" s="7" cm="1">
        <f t="array" ref="D44">wtheis($B44)</f>
        <v>2.356468705439855</v>
      </c>
      <c r="E44" s="9" cm="1">
        <f t="array" ref="E44">whan($B44, E$12)</f>
        <v>2.3564688190425689</v>
      </c>
      <c r="F44" s="4" cm="1">
        <f t="array" ref="F44">whan($B44, F$12)</f>
        <v>2.3561075172769406</v>
      </c>
      <c r="G44" s="4" cm="1">
        <f t="array" ref="G44">whan($B44, G$12)</f>
        <v>2.3532203002836636</v>
      </c>
      <c r="H44" s="4" cm="1">
        <f t="array" ref="H44">whan($B44, H$12)</f>
        <v>2.3207742394354614</v>
      </c>
      <c r="I44" s="4" cm="1">
        <f t="array" ref="I44">whan($B44, I$12)</f>
        <v>2.0642201371755111</v>
      </c>
      <c r="J44" s="4" cm="1">
        <f t="array" ref="J44">whan($B44, J$12)</f>
        <v>0.83994106874929131</v>
      </c>
      <c r="K44" s="4" cm="1">
        <f t="array" ref="K44">whan($B44, K$12)</f>
        <v>6.9479008772558401E-2</v>
      </c>
    </row>
    <row r="45" spans="1:11" x14ac:dyDescent="0.2">
      <c r="A45" s="4">
        <f t="shared" si="0"/>
        <v>13.33521432163325</v>
      </c>
      <c r="B45" s="4">
        <f t="shared" si="1"/>
        <v>7.4989420933245524E-2</v>
      </c>
      <c r="C45" s="6" cm="1">
        <f t="array" ref="C45">expint($B45)</f>
        <v>2.0867989445467994</v>
      </c>
      <c r="D45" s="7" cm="1">
        <f t="array" ref="D45">wtheis($B45)</f>
        <v>2.0867988993292985</v>
      </c>
      <c r="E45" s="9" cm="1">
        <f t="array" ref="E45">whan($B45, E$12)</f>
        <v>2.0867989445467994</v>
      </c>
      <c r="F45" s="4" cm="1">
        <f t="array" ref="F45">whan($B45, F$12)</f>
        <v>2.0865418453542297</v>
      </c>
      <c r="G45" s="4" cm="1">
        <f t="array" ref="G45">whan($B45, G$12)</f>
        <v>2.0844867907797329</v>
      </c>
      <c r="H45" s="4" cm="1">
        <f t="array" ref="H45">whan($B45, H$12)</f>
        <v>2.0613264846523442</v>
      </c>
      <c r="I45" s="4" cm="1">
        <f t="array" ref="I45">whan($B45, I$12)</f>
        <v>1.873695871726188</v>
      </c>
      <c r="J45" s="4" cm="1">
        <f t="array" ref="J45">whan($B45, J$12)</f>
        <v>0.83399491462563458</v>
      </c>
      <c r="K45" s="4" cm="1">
        <f t="array" ref="K45">whan($B45, K$12)</f>
        <v>6.9479008772555695E-2</v>
      </c>
    </row>
    <row r="46" spans="1:11" s="1" customFormat="1" x14ac:dyDescent="0.2">
      <c r="A46" s="4">
        <f t="shared" si="0"/>
        <v>10.000000000000007</v>
      </c>
      <c r="B46" s="4">
        <f t="shared" si="1"/>
        <v>9.9999999999999922E-2</v>
      </c>
      <c r="C46" s="6" cm="1">
        <f t="array" ref="C46">expint($B46)</f>
        <v>1.822923581404589</v>
      </c>
      <c r="D46" s="7" cm="1">
        <f t="array" ref="D46">wtheis($B46)</f>
        <v>1.8229236233181203</v>
      </c>
      <c r="E46" s="9" cm="1">
        <f t="array" ref="E46">whan($B46, E$12)</f>
        <v>1.822923581404589</v>
      </c>
      <c r="F46" s="4" cm="1">
        <f t="array" ref="F46">whan($B46, F$12)</f>
        <v>1.8227429591939401</v>
      </c>
      <c r="G46" s="4" cm="1">
        <f t="array" ref="G46">whan($B46, G$12)</f>
        <v>1.8212989176074761</v>
      </c>
      <c r="H46" s="4" cm="1">
        <f t="array" ref="H46">whan($B46, H$12)</f>
        <v>1.8049894024030206</v>
      </c>
      <c r="I46" s="4" cm="1">
        <f t="array" ref="I46">whan($B46, I$12)</f>
        <v>1.6703653987172142</v>
      </c>
      <c r="J46" s="4" cm="1">
        <f t="array" ref="J46">whan($B46, J$12)</f>
        <v>0.81903524317415333</v>
      </c>
      <c r="K46" s="4" cm="1">
        <f t="array" ref="K46">whan($B46, K$12)</f>
        <v>6.9479008766021491E-2</v>
      </c>
    </row>
    <row r="47" spans="1:11" x14ac:dyDescent="0.2">
      <c r="A47" s="4">
        <f t="shared" si="0"/>
        <v>7.4989420933245645</v>
      </c>
      <c r="B47" s="4">
        <f t="shared" si="1"/>
        <v>0.13335214321633229</v>
      </c>
      <c r="C47" s="6" cm="1">
        <f t="array" ref="C47">expint($B47)</f>
        <v>1.5665807678399253</v>
      </c>
      <c r="D47" s="7" cm="1">
        <f t="array" ref="D47">wtheis($B47)</f>
        <v>1.5665809189864788</v>
      </c>
      <c r="E47" s="9" cm="1">
        <f t="array" ref="E47">whan($B47, E$12)</f>
        <v>1.5665807678399253</v>
      </c>
      <c r="F47" s="4" cm="1">
        <f t="array" ref="F47">whan($B47, F$12)</f>
        <v>1.5664558712897261</v>
      </c>
      <c r="G47" s="4" cm="1">
        <f t="array" ref="G47">whan($B47, G$12)</f>
        <v>1.5654571961085655</v>
      </c>
      <c r="H47" s="4" cm="1">
        <f t="array" ref="H47">whan($B47, H$12)</f>
        <v>1.5541592103919566</v>
      </c>
      <c r="I47" s="4" cm="1">
        <f t="array" ref="I47">whan($B47, I$12)</f>
        <v>1.4595511742433727</v>
      </c>
      <c r="J47" s="4" cm="1">
        <f t="array" ref="J47">whan($B47, J$12)</f>
        <v>0.78941317097985575</v>
      </c>
      <c r="K47" s="4" cm="1">
        <f t="array" ref="K47">whan($B47, K$12)</f>
        <v>6.9479006450558878E-2</v>
      </c>
    </row>
    <row r="48" spans="1:11" x14ac:dyDescent="0.2">
      <c r="A48" s="4">
        <f t="shared" si="0"/>
        <v>5.6234132519034956</v>
      </c>
      <c r="B48" s="4">
        <f t="shared" si="1"/>
        <v>0.17782794100389213</v>
      </c>
      <c r="C48" s="6" cm="1">
        <f t="array" ref="C48">expint($B48)</f>
        <v>1.3199470658562078</v>
      </c>
      <c r="D48" s="7" cm="1">
        <f t="array" ref="D48">wtheis($B48)</f>
        <v>1.3199473509988759</v>
      </c>
      <c r="E48" s="9" cm="1">
        <f t="array" ref="E48">whan($B48, E$12)</f>
        <v>1.3199470658562078</v>
      </c>
      <c r="F48" s="4" cm="1">
        <f t="array" ref="F48">whan($B48, F$12)</f>
        <v>1.3198623866581221</v>
      </c>
      <c r="G48" s="4" cm="1">
        <f t="array" ref="G48">whan($B48, G$12)</f>
        <v>1.3191852126734498</v>
      </c>
      <c r="H48" s="4" cm="1">
        <f t="array" ref="H48">whan($B48, H$12)</f>
        <v>1.3115147339854076</v>
      </c>
      <c r="I48" s="4" cm="1">
        <f t="array" ref="I48">whan($B48, I$12)</f>
        <v>1.2465691853893186</v>
      </c>
      <c r="J48" s="4" cm="1">
        <f t="array" ref="J48">whan($B48, J$12)</f>
        <v>0.74068740837999847</v>
      </c>
      <c r="K48" s="4" cm="1">
        <f t="array" ref="K48">whan($B48, K$12)</f>
        <v>6.9478809540325537E-2</v>
      </c>
    </row>
    <row r="49" spans="1:11" x14ac:dyDescent="0.2">
      <c r="A49" s="4">
        <f t="shared" si="0"/>
        <v>4.2169650342858258</v>
      </c>
      <c r="B49" s="4">
        <f t="shared" si="1"/>
        <v>0.23713737056616532</v>
      </c>
      <c r="C49" s="6" cm="1">
        <f t="array" ref="C49">expint($B49)</f>
        <v>1.0856871908561208</v>
      </c>
      <c r="D49" s="7" cm="1">
        <f t="array" ref="D49">wtheis($B49)</f>
        <v>1.0856876352605755</v>
      </c>
      <c r="E49" s="9" cm="1">
        <f t="array" ref="E49">whan($B49, E$12)</f>
        <v>1.0856871908561208</v>
      </c>
      <c r="F49" s="4" cm="1">
        <f t="array" ref="F49">whan($B49, F$12)</f>
        <v>1.085631168034473</v>
      </c>
      <c r="G49" s="4" cm="1">
        <f t="array" ref="G49">whan($B49, G$12)</f>
        <v>1.0851831180348837</v>
      </c>
      <c r="H49" s="4" cm="1">
        <f t="array" ref="H49">whan($B49, H$12)</f>
        <v>1.0801030960004032</v>
      </c>
      <c r="I49" s="4" cm="1">
        <f t="array" ref="I49">whan($B49, I$12)</f>
        <v>1.036723725543069</v>
      </c>
      <c r="J49" s="4" cm="1">
        <f t="array" ref="J49">whan($B49, J$12)</f>
        <v>0.67140411442245496</v>
      </c>
      <c r="K49" s="4" cm="1">
        <f t="array" ref="K49">whan($B49, K$12)</f>
        <v>6.9473155587215868E-2</v>
      </c>
    </row>
    <row r="50" spans="1:11" x14ac:dyDescent="0.2">
      <c r="A50" s="4">
        <f t="shared" si="0"/>
        <v>3.1622776601683822</v>
      </c>
      <c r="B50" s="4">
        <f t="shared" si="1"/>
        <v>0.31622776601683766</v>
      </c>
      <c r="C50" s="6" cm="1">
        <f t="array" ref="C50">expint($B50)</f>
        <v>0.86696138911105225</v>
      </c>
      <c r="D50" s="7" cm="1">
        <f t="array" ref="D50">wtheis($B50)</f>
        <v>0.86696201440414833</v>
      </c>
      <c r="E50" s="9" cm="1">
        <f t="array" ref="E50">whan($B50, E$12)</f>
        <v>0.86696138911105225</v>
      </c>
      <c r="F50" s="4" cm="1">
        <f t="array" ref="F50">whan($B50, F$12)</f>
        <v>0.86692544031598195</v>
      </c>
      <c r="G50" s="4" cm="1">
        <f t="array" ref="G50">whan($B50, G$12)</f>
        <v>0.86663791576426519</v>
      </c>
      <c r="H50" s="4" cm="1">
        <f t="array" ref="H50">whan($B50, H$12)</f>
        <v>0.86337554260922222</v>
      </c>
      <c r="I50" s="4" cm="1">
        <f t="array" ref="I50">whan($B50, I$12)</f>
        <v>0.83533458212815559</v>
      </c>
      <c r="J50" s="4" cm="1">
        <f t="array" ref="J50">whan($B50, J$12)</f>
        <v>0.58379467181263378</v>
      </c>
      <c r="K50" s="4" cm="1">
        <f t="array" ref="K50">whan($B50, K$12)</f>
        <v>6.9402632779394319E-2</v>
      </c>
    </row>
    <row r="51" spans="1:11" x14ac:dyDescent="0.2">
      <c r="A51" s="4">
        <f t="shared" si="0"/>
        <v>2.3713737056616573</v>
      </c>
      <c r="B51" s="4">
        <f t="shared" si="1"/>
        <v>0.42169650342858189</v>
      </c>
      <c r="C51" s="6" cm="1">
        <f t="array" ref="C51">expint($B51)</f>
        <v>0.66734977352798808</v>
      </c>
      <c r="D51" s="7" cm="1">
        <f t="array" ref="D51">wtheis($B51)</f>
        <v>0.6673505908249604</v>
      </c>
      <c r="E51" s="9" cm="1">
        <f t="array" ref="E51">whan($B51, E$12)</f>
        <v>0.66734977352798808</v>
      </c>
      <c r="F51" s="4" cm="1">
        <f t="array" ref="F51">whan($B51, F$12)</f>
        <v>0.6673275714074266</v>
      </c>
      <c r="G51" s="4" cm="1">
        <f t="array" ref="G51">whan($B51, G$12)</f>
        <v>0.66714998594281461</v>
      </c>
      <c r="H51" s="4" cm="1">
        <f t="array" ref="H51">whan($B51, H$12)</f>
        <v>0.66513388696673181</v>
      </c>
      <c r="I51" s="4" cm="1">
        <f t="array" ref="I51">whan($B51, I$12)</f>
        <v>0.64771729596028949</v>
      </c>
      <c r="J51" s="4" cm="1">
        <f t="array" ref="J51">whan($B51, J$12)</f>
        <v>0.48338067374374283</v>
      </c>
      <c r="K51" s="4" cm="1">
        <f t="array" ref="K51">whan($B51, K$12)</f>
        <v>6.8941851231291984E-2</v>
      </c>
    </row>
    <row r="52" spans="1:11" x14ac:dyDescent="0.2">
      <c r="A52" s="4">
        <f t="shared" si="0"/>
        <v>1.7782794100389243</v>
      </c>
      <c r="B52" s="4">
        <f t="shared" si="1"/>
        <v>0.56234132519034863</v>
      </c>
      <c r="C52" s="6" cm="1">
        <f t="array" ref="C52">expint($B52)</f>
        <v>0.49063819830821315</v>
      </c>
      <c r="D52" s="7" cm="1">
        <f t="array" ref="D52">wtheis($B52)</f>
        <v>0.49063919855809307</v>
      </c>
      <c r="E52" s="9" cm="1">
        <f t="array" ref="E52">whan($B52, E$12)</f>
        <v>0.49063819830821315</v>
      </c>
      <c r="F52" s="4" cm="1">
        <f t="array" ref="F52">whan($B52, F$12)</f>
        <v>0.49062512981504497</v>
      </c>
      <c r="G52" s="4" cm="1">
        <f t="array" ref="G52">whan($B52, G$12)</f>
        <v>0.49052059626028588</v>
      </c>
      <c r="H52" s="4" cm="1">
        <f t="array" ref="H52">whan($B52, H$12)</f>
        <v>0.48933332569166532</v>
      </c>
      <c r="I52" s="4" cm="1">
        <f t="array" ref="I52">whan($B52, I$12)</f>
        <v>0.47903667634503644</v>
      </c>
      <c r="J52" s="4" cm="1">
        <f t="array" ref="J52">whan($B52, J$12)</f>
        <v>0.37789742028475004</v>
      </c>
      <c r="K52" s="4" cm="1">
        <f t="array" ref="K52">whan($B52, K$12)</f>
        <v>6.7128628360296622E-2</v>
      </c>
    </row>
    <row r="53" spans="1:11" x14ac:dyDescent="0.2">
      <c r="A53" s="4">
        <f t="shared" si="0"/>
        <v>1.3335214321633251</v>
      </c>
      <c r="B53" s="4">
        <f t="shared" si="1"/>
        <v>0.74989420933245521</v>
      </c>
      <c r="C53" s="6" cm="1">
        <f t="array" ref="C53">expint($B53)</f>
        <v>0.34040597433656344</v>
      </c>
      <c r="D53" s="7" cm="1">
        <f t="array" ref="D53">wtheis($B53)</f>
        <v>0.34040711524364775</v>
      </c>
      <c r="E53" s="9" cm="1">
        <f t="array" ref="E53">whan($B53, E$12)</f>
        <v>0.34040597433656344</v>
      </c>
      <c r="F53" s="4" cm="1">
        <f t="array" ref="F53">whan($B53, F$12)</f>
        <v>0.3403987352845676</v>
      </c>
      <c r="G53" s="4" cm="1">
        <f t="array" ref="G53">whan($B53, G$12)</f>
        <v>0.34034082906119068</v>
      </c>
      <c r="H53" s="4" cm="1">
        <f t="array" ref="H53">whan($B53, H$12)</f>
        <v>0.33968291995757438</v>
      </c>
      <c r="I53" s="4" cm="1">
        <f t="array" ref="I53">whan($B53, I$12)</f>
        <v>0.33395989120042102</v>
      </c>
      <c r="J53" s="4" cm="1">
        <f t="array" ref="J53">whan($B53, J$12)</f>
        <v>0.27592936680543917</v>
      </c>
      <c r="K53" s="4" cm="1">
        <f t="array" ref="K53">whan($B53, K$12)</f>
        <v>6.2365053818660005E-2</v>
      </c>
    </row>
    <row r="54" spans="1:11" s="1" customFormat="1" x14ac:dyDescent="0.2">
      <c r="A54" s="4">
        <f t="shared" si="0"/>
        <v>1.0000000000000009</v>
      </c>
      <c r="B54" s="4">
        <f t="shared" si="1"/>
        <v>0.99999999999999911</v>
      </c>
      <c r="C54" s="6" cm="1">
        <f t="array" ref="C54">expint($B54)</f>
        <v>0.21938240156004457</v>
      </c>
      <c r="D54" s="7" cm="1">
        <f t="array" ref="D54">wtheis($B54)</f>
        <v>0.21938359945944455</v>
      </c>
      <c r="E54" s="9" cm="1">
        <f t="array" ref="E54">whan($B54, E$12)</f>
        <v>0.21938240156004457</v>
      </c>
      <c r="F54" s="4" cm="1">
        <f t="array" ref="F54">whan($B54, F$12)</f>
        <v>0.21937868928329404</v>
      </c>
      <c r="G54" s="4" cm="1">
        <f t="array" ref="G54">whan($B54, G$12)</f>
        <v>0.21934899353708939</v>
      </c>
      <c r="H54" s="4" cm="1">
        <f t="array" ref="H54">whan($B54, H$12)</f>
        <v>0.21901151300626365</v>
      </c>
      <c r="I54" s="4" cm="1">
        <f t="array" ref="I54">whan($B54, I$12)</f>
        <v>0.21606892362671329</v>
      </c>
      <c r="J54" s="4" cm="1">
        <f t="array" ref="J54">whan($B54, J$12)</f>
        <v>0.18547391523863779</v>
      </c>
      <c r="K54" s="4" cm="1">
        <f t="array" ref="K54">whan($B54, K$12)</f>
        <v>5.337164080130341E-2</v>
      </c>
    </row>
    <row r="55" spans="1:11" x14ac:dyDescent="0.2">
      <c r="A55" s="4">
        <f t="shared" si="0"/>
        <v>0.74989420933245643</v>
      </c>
      <c r="B55" s="4">
        <f t="shared" si="1"/>
        <v>1.3335214321633229</v>
      </c>
      <c r="C55" s="6" cm="1">
        <f t="array" ref="C55">expint($B55)</f>
        <v>0.12862565928754674</v>
      </c>
      <c r="D55" s="7" cm="1">
        <f t="array" ref="D55">wtheis($B55)</f>
        <v>0.1286267880755716</v>
      </c>
      <c r="E55" s="9" cm="1">
        <f t="array" ref="E55">whan($B55, E$12)</f>
        <v>0.12862565928754674</v>
      </c>
      <c r="F55" s="4" cm="1">
        <f t="array" ref="F55">whan($B55, F$12)</f>
        <v>0.12862393420631446</v>
      </c>
      <c r="G55" s="4" cm="1">
        <f t="array" ref="G55">whan($B55, G$12)</f>
        <v>0.12861013444734298</v>
      </c>
      <c r="H55" s="4" cm="1">
        <f t="array" ref="H55">whan($B55, H$12)</f>
        <v>0.12845327360532163</v>
      </c>
      <c r="I55" s="4" cm="1">
        <f t="array" ref="I55">whan($B55, I$12)</f>
        <v>0.12708305291206232</v>
      </c>
      <c r="J55" s="4" cm="1">
        <f t="array" ref="J55">whan($B55, J$12)</f>
        <v>0.11255237926032401</v>
      </c>
      <c r="K55" s="4" cm="1">
        <f t="array" ref="K55">whan($B55, K$12)</f>
        <v>4.0556318960596464E-2</v>
      </c>
    </row>
    <row r="56" spans="1:11" x14ac:dyDescent="0.2">
      <c r="A56" s="4">
        <f t="shared" si="0"/>
        <v>0.56234132519034963</v>
      </c>
      <c r="B56" s="4">
        <f t="shared" si="1"/>
        <v>1.7782794100389212</v>
      </c>
      <c r="C56" s="6" cm="1">
        <f t="array" ref="C56">expint($B56)</f>
        <v>6.6740668530503214E-2</v>
      </c>
      <c r="D56" s="7" cm="1">
        <f t="array" ref="D56">wtheis($B56)</f>
        <v>6.674158485251877E-2</v>
      </c>
      <c r="E56" s="9" cm="1">
        <f t="array" ref="E56">whan($B56, E$12)</f>
        <v>6.6740668530503214E-2</v>
      </c>
      <c r="F56" s="4" cm="1">
        <f t="array" ref="F56">whan($B56, F$12)</f>
        <v>6.6739962222257421E-2</v>
      </c>
      <c r="G56" s="4" cm="1">
        <f t="array" ref="G56">whan($B56, G$12)</f>
        <v>6.6734312039382071E-2</v>
      </c>
      <c r="H56" s="4" cm="1">
        <f t="array" ref="H56">whan($B56, H$12)</f>
        <v>6.6670076617313792E-2</v>
      </c>
      <c r="I56" s="4" cm="1">
        <f t="array" ref="I56">whan($B56, I$12)</f>
        <v>6.6108161452652914E-2</v>
      </c>
      <c r="J56" s="4" cm="1">
        <f t="array" ref="J56">whan($B56, J$12)</f>
        <v>6.0056031762416889E-2</v>
      </c>
      <c r="K56" s="4" cm="1">
        <f t="array" ref="K56">whan($B56, K$12)</f>
        <v>2.6387864279731707E-2</v>
      </c>
    </row>
    <row r="57" spans="1:11" x14ac:dyDescent="0.2">
      <c r="A57" s="4">
        <f t="shared" si="0"/>
        <v>0.42169650342858267</v>
      </c>
      <c r="B57" s="4">
        <f t="shared" si="1"/>
        <v>2.3713737056616528</v>
      </c>
      <c r="C57" s="6" cm="1">
        <f t="array" ref="C57">expint($B57)</f>
        <v>2.9543654966659064E-2</v>
      </c>
      <c r="D57" s="7" cm="1">
        <f t="array" ref="D57">wtheis($B57)</f>
        <v>2.9544241910220228E-2</v>
      </c>
      <c r="E57" s="9" cm="1">
        <f t="array" ref="E57">whan($B57, E$12)</f>
        <v>2.9543654966659064E-2</v>
      </c>
      <c r="F57" s="4" cm="1">
        <f t="array" ref="F57">whan($B57, F$12)</f>
        <v>2.9543409436466078E-2</v>
      </c>
      <c r="G57" s="4" cm="1">
        <f t="array" ref="G57">whan($B57, G$12)</f>
        <v>2.9541445271174999E-2</v>
      </c>
      <c r="H57" s="4" cm="1">
        <f t="array" ref="H57">whan($B57, H$12)</f>
        <v>2.9519112429339862E-2</v>
      </c>
      <c r="I57" s="4" cm="1">
        <f t="array" ref="I57">whan($B57, I$12)</f>
        <v>2.9323532432785415E-2</v>
      </c>
      <c r="J57" s="4" cm="1">
        <f t="array" ref="J57">whan($B57, J$12)</f>
        <v>2.7191188398891782E-2</v>
      </c>
      <c r="K57" s="4" cm="1">
        <f t="array" ref="K57">whan($B57, K$12)</f>
        <v>1.4138554666372927E-2</v>
      </c>
    </row>
    <row r="58" spans="1:11" x14ac:dyDescent="0.2">
      <c r="A58" s="4">
        <f t="shared" si="0"/>
        <v>0.31622776601683827</v>
      </c>
      <c r="B58" s="4">
        <f t="shared" si="1"/>
        <v>3.162277660168376</v>
      </c>
      <c r="C58" s="6" cm="1">
        <f t="array" ref="C58">expint($B58)</f>
        <v>1.0625054705726902E-2</v>
      </c>
      <c r="D58" s="7" cm="1">
        <f t="array" ref="D58">wtheis($B58)</f>
        <v>1.0625276152645228E-2</v>
      </c>
      <c r="E58" s="9" cm="1">
        <f t="array" ref="E58">whan($B58, E$12)</f>
        <v>1.0625054705726902E-2</v>
      </c>
      <c r="F58" s="4" cm="1">
        <f t="array" ref="F58">whan($B58, F$12)</f>
        <v>1.0624985710207481E-2</v>
      </c>
      <c r="G58" s="4" cm="1">
        <f t="array" ref="G58">whan($B58, G$12)</f>
        <v>1.0624433762619692E-2</v>
      </c>
      <c r="H58" s="4" cm="1">
        <f t="array" ref="H58">whan($B58, H$12)</f>
        <v>1.0618157431314839E-2</v>
      </c>
      <c r="I58" s="4" cm="1">
        <f t="array" ref="I58">whan($B58, I$12)</f>
        <v>1.0563144536587252E-2</v>
      </c>
      <c r="J58" s="4" cm="1">
        <f t="array" ref="J58">whan($B58, J$12)</f>
        <v>9.9575941304555719E-3</v>
      </c>
      <c r="K58" s="4" cm="1">
        <f t="array" ref="K58">whan($B58, K$12)</f>
        <v>5.9509465101545422E-3</v>
      </c>
    </row>
    <row r="59" spans="1:11" x14ac:dyDescent="0.2">
      <c r="A59" s="4">
        <f t="shared" si="0"/>
        <v>0.23713737056616579</v>
      </c>
      <c r="B59" s="4">
        <f t="shared" si="1"/>
        <v>4.2169650342858178</v>
      </c>
      <c r="C59" s="6" cm="1">
        <f t="array" ref="C59">expint($B59)</f>
        <v>2.9085631345259215E-3</v>
      </c>
      <c r="D59" s="7" cm="1">
        <f t="array" ref="D59">wtheis($B59)</f>
        <v>2.908489014773823E-3</v>
      </c>
      <c r="E59" s="9" cm="1">
        <f t="array" ref="E59">whan($B59, E$12)</f>
        <v>2.9085631345259215E-3</v>
      </c>
      <c r="F59" s="4" cm="1">
        <f t="array" ref="F59">whan($B59, F$12)</f>
        <v>2.9085484522018527E-3</v>
      </c>
      <c r="G59" s="4" cm="1">
        <f t="array" ref="G59">whan($B59, G$12)</f>
        <v>2.9084309963279369E-3</v>
      </c>
      <c r="H59" s="4" cm="1">
        <f t="array" ref="H59">whan($B59, H$12)</f>
        <v>2.9070952758776009E-3</v>
      </c>
      <c r="I59" s="4" cm="1">
        <f t="array" ref="I59">whan($B59, I$12)</f>
        <v>2.8953795466720796E-3</v>
      </c>
      <c r="J59" s="4" cm="1">
        <f t="array" ref="J59">whan($B59, J$12)</f>
        <v>2.7654506431455035E-3</v>
      </c>
      <c r="K59" s="4" cm="1">
        <f t="array" ref="K59">whan($B59, K$12)</f>
        <v>1.8502784038431552E-3</v>
      </c>
    </row>
    <row r="60" spans="1:11" x14ac:dyDescent="0.2">
      <c r="A60" s="4">
        <f t="shared" si="0"/>
        <v>0.17782794100389249</v>
      </c>
      <c r="B60" s="4">
        <f t="shared" si="1"/>
        <v>5.6234132519034841</v>
      </c>
      <c r="C60" s="6" cm="1">
        <f t="array" ref="C60">expint($B60)</f>
        <v>5.555063139274217E-4</v>
      </c>
      <c r="D60" s="7" cm="1">
        <f t="array" ref="D60">wtheis($B60)</f>
        <v>5.5525836030815873E-4</v>
      </c>
      <c r="E60" s="9" cm="1">
        <f t="array" ref="E60">whan($B60, E$12)</f>
        <v>5.555063139274217E-4</v>
      </c>
      <c r="F60" s="4" cm="1">
        <f t="array" ref="F60">whan($B60, F$12)</f>
        <v>5.5550414499455788E-4</v>
      </c>
      <c r="G60" s="4" cm="1">
        <f t="array" ref="G60">whan($B60, G$12)</f>
        <v>5.5548679384043241E-4</v>
      </c>
      <c r="H60" s="4" cm="1">
        <f t="array" ref="H60">whan($B60, H$12)</f>
        <v>5.5528946309420094E-4</v>
      </c>
      <c r="I60" s="4" cm="1">
        <f t="array" ref="I60">whan($B60, I$12)</f>
        <v>5.5355774023816784E-4</v>
      </c>
      <c r="J60" s="4" cm="1">
        <f t="array" ref="J60">whan($B60, J$12)</f>
        <v>5.3424016259890001E-4</v>
      </c>
      <c r="K60" s="4" cm="1">
        <f t="array" ref="K60">whan($B60, K$12)</f>
        <v>3.9122705458337212E-4</v>
      </c>
    </row>
    <row r="61" spans="1:11" x14ac:dyDescent="0.2">
      <c r="A61" s="4">
        <f t="shared" si="0"/>
        <v>0.13335214321633257</v>
      </c>
      <c r="B61" s="4">
        <f t="shared" si="1"/>
        <v>7.4989420933245494</v>
      </c>
      <c r="C61" s="6" cm="1">
        <f t="array" ref="C61">expint($B61)</f>
        <v>6.5891656953031576E-5</v>
      </c>
      <c r="D61" s="7" cm="1">
        <f t="array" ref="D61">wtheis($B61)</f>
        <v>6.5569597344649746E-5</v>
      </c>
      <c r="E61" s="9" cm="1">
        <f t="array" ref="E61">whan($B61, E$12)</f>
        <v>6.5891656953031576E-5</v>
      </c>
      <c r="F61" s="4" cm="1">
        <f t="array" ref="F61">whan($B61, F$12)</f>
        <v>6.5891458916227498E-5</v>
      </c>
      <c r="G61" s="4" cm="1">
        <f t="array" ref="G61">whan($B61, G$12)</f>
        <v>6.5889874643405261E-5</v>
      </c>
      <c r="H61" s="4" cm="1">
        <f t="array" ref="H61">whan($B61, H$12)</f>
        <v>6.5871856243742148E-5</v>
      </c>
      <c r="I61" s="4" cm="1">
        <f t="array" ref="I61">whan($B61, I$12)</f>
        <v>6.571366645292926E-5</v>
      </c>
      <c r="J61" s="4" cm="1">
        <f t="array" ref="J61">whan($B61, J$12)</f>
        <v>6.3940997091539584E-5</v>
      </c>
      <c r="K61" s="4" cm="1">
        <f t="array" ref="K61">whan($B61, K$12)</f>
        <v>5.0291350810328524E-5</v>
      </c>
    </row>
    <row r="62" spans="1:11" s="1" customFormat="1" x14ac:dyDescent="0.2">
      <c r="A62" s="4">
        <f t="shared" si="0"/>
        <v>0.10000000000000013</v>
      </c>
      <c r="B62" s="4">
        <f t="shared" si="1"/>
        <v>9.9999999999999876</v>
      </c>
      <c r="C62" s="6" cm="1">
        <f t="array" ref="C62">expint($B62)</f>
        <v>4.1550776576431978E-6</v>
      </c>
      <c r="D62" s="7" cm="1">
        <f t="array" ref="D62">wtheis($B62)</f>
        <v>3.8258921529791697E-6</v>
      </c>
      <c r="E62" s="9" cm="1">
        <f t="array" ref="E62">whan($B62, E$12)</f>
        <v>4.1550776576431978E-6</v>
      </c>
      <c r="F62" s="4" cm="1">
        <f t="array" ref="F62">whan($B62, F$12)</f>
        <v>4.1550680872537967E-6</v>
      </c>
      <c r="G62" s="4" cm="1">
        <f t="array" ref="G62">whan($B62, G$12)</f>
        <v>4.154991524936551E-6</v>
      </c>
      <c r="H62" s="4" cm="1">
        <f t="array" ref="H62">whan($B62, H$12)</f>
        <v>4.154120728414208E-6</v>
      </c>
      <c r="I62" s="4" cm="1">
        <f t="array" ref="I62">whan($B62, I$12)</f>
        <v>4.1464732680049416E-6</v>
      </c>
      <c r="J62" s="4" cm="1">
        <f t="array" ref="J62">whan($B62, J$12)</f>
        <v>4.0604733839549128E-6</v>
      </c>
      <c r="K62" s="4" cm="1">
        <f t="array" ref="K62">whan($B62, K$12)</f>
        <v>3.3775604761081685E-6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 Olsthoorn</dc:creator>
  <cp:lastModifiedBy>Theo Olsthoorn</cp:lastModifiedBy>
  <dcterms:created xsi:type="dcterms:W3CDTF">2023-05-19T09:31:49Z</dcterms:created>
  <dcterms:modified xsi:type="dcterms:W3CDTF">2023-05-19T18:44:11Z</dcterms:modified>
</cp:coreProperties>
</file>