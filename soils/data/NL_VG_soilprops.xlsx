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evelopment/python/hydro_tools/tools/soils/data/"/>
    </mc:Choice>
  </mc:AlternateContent>
  <xr:revisionPtr revIDLastSave="0" documentId="13_ncr:1_{FECD36AA-EC92-DF45-81A4-36304FA6D0AB}" xr6:coauthVersionLast="47" xr6:coauthVersionMax="47" xr10:uidLastSave="{00000000-0000-0000-0000-000000000000}"/>
  <bookViews>
    <workbookView xWindow="760" yWindow="2340" windowWidth="34980" windowHeight="19240" xr2:uid="{F372BC66-B543-D943-98A8-6CF660848A41}"/>
  </bookViews>
  <sheets>
    <sheet name="Sheet1" sheetId="1" r:id="rId1"/>
    <sheet name="types" sheetId="4" r:id="rId2"/>
    <sheet name="tabel4" sheetId="2" r:id="rId3"/>
  </sheets>
  <definedNames>
    <definedName name="types">types!$A$1:$C$36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66" i="2" l="1"/>
  <c r="AC166" i="2"/>
  <c r="AB166" i="2"/>
  <c r="AA166" i="2"/>
  <c r="Z166" i="2"/>
  <c r="Y166" i="2"/>
  <c r="X166" i="2"/>
  <c r="W166" i="2"/>
  <c r="V166" i="2"/>
  <c r="U166" i="2"/>
  <c r="T166" i="2"/>
  <c r="S166" i="2"/>
  <c r="R166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181" i="2"/>
  <c r="Q180" i="2"/>
  <c r="Q179" i="2"/>
  <c r="Q178" i="2"/>
  <c r="Q176" i="2"/>
  <c r="Q175" i="2"/>
  <c r="Q174" i="2"/>
  <c r="Q173" i="2"/>
  <c r="Q171" i="2"/>
  <c r="Q170" i="2"/>
  <c r="Q169" i="2"/>
  <c r="Q168" i="2"/>
  <c r="Q166" i="2"/>
  <c r="Q165" i="2"/>
  <c r="Q164" i="2"/>
  <c r="Q163" i="2"/>
  <c r="Q161" i="2"/>
  <c r="Q160" i="2"/>
  <c r="Q159" i="2"/>
  <c r="Q158" i="2"/>
  <c r="Q156" i="2"/>
  <c r="Q155" i="2"/>
  <c r="Q154" i="2"/>
  <c r="Q153" i="2"/>
  <c r="Q151" i="2"/>
  <c r="Q150" i="2"/>
  <c r="Q149" i="2"/>
  <c r="Q148" i="2"/>
  <c r="Q146" i="2"/>
  <c r="Q145" i="2"/>
  <c r="Q144" i="2"/>
  <c r="Q143" i="2"/>
  <c r="Q141" i="2"/>
  <c r="Q140" i="2"/>
  <c r="Q139" i="2"/>
  <c r="Q138" i="2"/>
  <c r="Q136" i="2"/>
  <c r="Q135" i="2"/>
  <c r="Q134" i="2"/>
  <c r="Q133" i="2"/>
  <c r="Q131" i="2"/>
  <c r="Q130" i="2"/>
  <c r="Q129" i="2"/>
  <c r="Q128" i="2"/>
  <c r="Q126" i="2"/>
  <c r="Q125" i="2"/>
  <c r="Q124" i="2"/>
  <c r="Q123" i="2"/>
  <c r="Q121" i="2"/>
  <c r="Q120" i="2"/>
  <c r="Q119" i="2"/>
  <c r="Q118" i="2"/>
  <c r="Q116" i="2"/>
  <c r="Q115" i="2"/>
  <c r="Q114" i="2"/>
  <c r="Q113" i="2"/>
  <c r="Q111" i="2"/>
  <c r="Q110" i="2"/>
  <c r="Q109" i="2"/>
  <c r="Q108" i="2"/>
  <c r="Q106" i="2"/>
  <c r="Q105" i="2"/>
  <c r="Q104" i="2"/>
  <c r="Q103" i="2"/>
  <c r="Q101" i="2"/>
  <c r="Q100" i="2"/>
  <c r="Q99" i="2"/>
  <c r="Q98" i="2"/>
  <c r="Q96" i="2"/>
  <c r="Q95" i="2"/>
  <c r="Q94" i="2"/>
  <c r="Q93" i="2"/>
  <c r="Q91" i="2"/>
  <c r="Q90" i="2"/>
  <c r="Q89" i="2"/>
  <c r="Q88" i="2"/>
  <c r="Q86" i="2"/>
  <c r="Q85" i="2"/>
  <c r="Q84" i="2"/>
  <c r="Q83" i="2"/>
  <c r="Q81" i="2"/>
  <c r="Q80" i="2"/>
  <c r="Q79" i="2"/>
  <c r="Q78" i="2"/>
  <c r="Q76" i="2"/>
  <c r="Q75" i="2"/>
  <c r="Q74" i="2"/>
  <c r="Q73" i="2"/>
  <c r="Q71" i="2"/>
  <c r="Q70" i="2"/>
  <c r="Q69" i="2"/>
  <c r="Q68" i="2"/>
  <c r="Q66" i="2"/>
  <c r="Q65" i="2"/>
  <c r="Q64" i="2"/>
  <c r="Q63" i="2"/>
  <c r="Q61" i="2"/>
  <c r="Q60" i="2"/>
  <c r="Q59" i="2"/>
  <c r="Q58" i="2"/>
  <c r="Q56" i="2"/>
  <c r="Q55" i="2"/>
  <c r="Q54" i="2"/>
  <c r="Q53" i="2"/>
  <c r="Q51" i="2"/>
  <c r="Q50" i="2"/>
  <c r="Q49" i="2"/>
  <c r="Q48" i="2"/>
  <c r="Q46" i="2"/>
  <c r="Q45" i="2"/>
  <c r="Q44" i="2"/>
  <c r="Q43" i="2"/>
  <c r="Q41" i="2"/>
  <c r="Q40" i="2"/>
  <c r="Q39" i="2"/>
  <c r="Q38" i="2"/>
  <c r="Q36" i="2"/>
  <c r="Q35" i="2"/>
  <c r="Q34" i="2"/>
  <c r="Q33" i="2"/>
  <c r="Q31" i="2"/>
  <c r="Q30" i="2"/>
  <c r="Q29" i="2"/>
  <c r="Q28" i="2"/>
  <c r="Q26" i="2"/>
  <c r="Q25" i="2"/>
  <c r="Q24" i="2"/>
  <c r="Q23" i="2"/>
  <c r="Q21" i="2"/>
  <c r="Q20" i="2"/>
  <c r="Q19" i="2"/>
  <c r="Q18" i="2"/>
  <c r="Q16" i="2"/>
  <c r="Q15" i="2"/>
  <c r="Q14" i="2"/>
  <c r="Q13" i="2"/>
  <c r="Q11" i="2"/>
  <c r="Q10" i="2"/>
  <c r="Q9" i="2"/>
  <c r="Q8" i="2"/>
  <c r="Q6" i="2"/>
  <c r="Q5" i="2"/>
  <c r="Q4" i="2"/>
  <c r="Q3" i="2"/>
  <c r="K10" i="4"/>
  <c r="J10" i="4"/>
</calcChain>
</file>

<file path=xl/sharedStrings.xml><?xml version="1.0" encoding="utf-8"?>
<sst xmlns="http://schemas.openxmlformats.org/spreadsheetml/2006/main" count="770" uniqueCount="128">
  <si>
    <t>(cm3 cm-3)</t>
  </si>
  <si>
    <t>(cm-I)</t>
  </si>
  <si>
    <t>(dimensieloos)</t>
  </si>
  <si>
    <t>Zand</t>
  </si>
  <si>
    <t>B01</t>
  </si>
  <si>
    <t>B02</t>
  </si>
  <si>
    <t>B03</t>
  </si>
  <si>
    <t>B04</t>
  </si>
  <si>
    <t>B05</t>
  </si>
  <si>
    <t>B06</t>
  </si>
  <si>
    <t>Zavel</t>
  </si>
  <si>
    <t>B07</t>
  </si>
  <si>
    <t>B08</t>
  </si>
  <si>
    <t>B10</t>
  </si>
  <si>
    <t>B11</t>
  </si>
  <si>
    <t>B12</t>
  </si>
  <si>
    <t>Leem</t>
  </si>
  <si>
    <t>B13</t>
  </si>
  <si>
    <t>B14</t>
  </si>
  <si>
    <t>B15</t>
  </si>
  <si>
    <t>B16</t>
  </si>
  <si>
    <t>B17</t>
  </si>
  <si>
    <t>B18</t>
  </si>
  <si>
    <t>Klei</t>
  </si>
  <si>
    <t>Veen</t>
  </si>
  <si>
    <t>theta_r</t>
  </si>
  <si>
    <t>theta_s</t>
  </si>
  <si>
    <t>alpha</t>
  </si>
  <si>
    <t>n</t>
  </si>
  <si>
    <t>lambda</t>
  </si>
  <si>
    <t>(cm d-l)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</si>
  <si>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</si>
  <si>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</si>
  <si>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</si>
  <si>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</si>
  <si>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</si>
  <si>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</si>
  <si>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</si>
  <si>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</si>
  <si>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</si>
  <si>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</si>
  <si>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</si>
  <si>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</si>
  <si>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</si>
  <si>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</si>
  <si>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</si>
  <si>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</si>
  <si>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</si>
  <si>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</si>
  <si>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Lutum</t>
  </si>
  <si>
    <t>os</t>
  </si>
  <si>
    <t>M50</t>
  </si>
  <si>
    <t>leemarm, zeer fijn tot matig fijn zand</t>
  </si>
  <si>
    <t>0-10</t>
  </si>
  <si>
    <t>0-15</t>
  </si>
  <si>
    <t>105-210</t>
  </si>
  <si>
    <t>zwak lemig, zeer fijn tot matig fijn zand</t>
  </si>
  <si>
    <t>sterk lemig, zeer fijn tot matig fijn zand</t>
  </si>
  <si>
    <t>18-33</t>
  </si>
  <si>
    <t>zeer sterk lemig, zeer fijn tot matig fijn zand</t>
  </si>
  <si>
    <t>33-50</t>
  </si>
  <si>
    <t>grof zand</t>
  </si>
  <si>
    <t>210-2000</t>
  </si>
  <si>
    <t>keileem</t>
  </si>
  <si>
    <t>0-50</t>
  </si>
  <si>
    <t>50-2000</t>
  </si>
  <si>
    <t>zeer lichte zavel</t>
  </si>
  <si>
    <t>matig lichte zavel</t>
  </si>
  <si>
    <t>B09</t>
  </si>
  <si>
    <t>zware zavel</t>
  </si>
  <si>
    <t>18-25</t>
  </si>
  <si>
    <t>lichte klei</t>
  </si>
  <si>
    <t>25-35</t>
  </si>
  <si>
    <t>matig zware klei</t>
  </si>
  <si>
    <t>35-50</t>
  </si>
  <si>
    <t>zeer zware klei</t>
  </si>
  <si>
    <t>50-100</t>
  </si>
  <si>
    <t>zandige leem</t>
  </si>
  <si>
    <t>50-85</t>
  </si>
  <si>
    <t>siltige leem</t>
  </si>
  <si>
    <t>85-100</t>
  </si>
  <si>
    <t>Moerig</t>
  </si>
  <si>
    <t>venig zand</t>
  </si>
  <si>
    <t>0-8</t>
  </si>
  <si>
    <t>15-25</t>
  </si>
  <si>
    <t>zandig veen en veen</t>
  </si>
  <si>
    <t>25-100</t>
  </si>
  <si>
    <t>venige klei</t>
  </si>
  <si>
    <t>8-100</t>
  </si>
  <si>
    <t>16-45</t>
  </si>
  <si>
    <t>kleiig veen</t>
  </si>
  <si>
    <t>25-70</t>
  </si>
  <si>
    <t>N1</t>
  </si>
  <si>
    <t>N2</t>
  </si>
  <si>
    <t>10-18</t>
  </si>
  <si>
    <t>8-12</t>
  </si>
  <si>
    <t>12-18</t>
  </si>
  <si>
    <t>0-3</t>
  </si>
  <si>
    <t>beekleem</t>
  </si>
  <si>
    <t>50-150</t>
  </si>
  <si>
    <t>oligotroof veen</t>
  </si>
  <si>
    <t>35-100</t>
  </si>
  <si>
    <t>mesotroof en eutroof veen</t>
  </si>
  <si>
    <t>moerige tussenlaag</t>
  </si>
  <si>
    <t>15-35</t>
  </si>
  <si>
    <t>code</t>
  </si>
  <si>
    <t>%</t>
  </si>
  <si>
    <t>um</t>
  </si>
  <si>
    <t>Ks</t>
  </si>
  <si>
    <t>Omschrijving</t>
  </si>
  <si>
    <t>Hoofdsoort</t>
  </si>
  <si>
    <t>Ζ2</t>
  </si>
  <si>
    <t>psi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</si>
  <si>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</si>
  <si>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</si>
  <si>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</si>
  <si>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</si>
  <si>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</si>
  <si>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</si>
  <si>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</si>
  <si>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</si>
  <si>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</si>
  <si>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</si>
  <si>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</si>
  <si>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</si>
  <si>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</si>
  <si>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Z1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</si>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</sst>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6" fontId="0" fillId="0" borderId="0" xfId="0" quotePrefix="1" applyNumberFormat="1"/>
    <xf numFmtId="0" fontId="0" fillId="0" borderId="0" xfId="0" quotePrefix="1"/>
    <xf numFmtId="1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B51C-C4C4-FB4A-8D08-99FB94CE3065}">
  <dimension ref="A1:O38"/>
  <sheetViews>
    <sheetView tabSelected="1" workbookViewId="0">
      <selection activeCell="R11" sqref="R11"/>
    </sheetView>
  </sheetViews>
  <sheetFormatPr baseColWidth="10" defaultRowHeight="16" x14ac:dyDescent="0.2"/>
  <cols>
    <col min="2" max="2" width="36" bestFit="1" customWidth="1"/>
    <col min="3" max="3" width="12.6640625" bestFit="1" customWidth="1"/>
    <col min="4" max="5" width="10.5" bestFit="1" customWidth="1"/>
    <col min="6" max="6" width="7.1640625" bestFit="1" customWidth="1"/>
    <col min="7" max="8" width="13.1640625" bestFit="1" customWidth="1"/>
    <col min="9" max="9" width="11.83203125" bestFit="1" customWidth="1"/>
    <col min="10" max="10" width="6.83203125" bestFit="1" customWidth="1"/>
    <col min="11" max="11" width="7.1640625" bestFit="1" customWidth="1"/>
    <col min="12" max="12" width="6.83203125" bestFit="1" customWidth="1"/>
    <col min="13" max="13" width="8.83203125" bestFit="1" customWidth="1"/>
    <col min="14" max="14" width="4.1640625" bestFit="1" customWidth="1"/>
    <col min="15" max="15" width="3.5" bestFit="1" customWidth="1"/>
    <col min="16" max="16" width="3.1640625" bestFit="1" customWidth="1"/>
  </cols>
  <sheetData>
    <row r="1" spans="1:15" x14ac:dyDescent="0.2">
      <c r="A1" t="s">
        <v>110</v>
      </c>
      <c r="B1" t="s">
        <v>109</v>
      </c>
      <c r="C1" t="s">
        <v>105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108</v>
      </c>
      <c r="J1" t="s">
        <v>16</v>
      </c>
      <c r="K1" t="s">
        <v>49</v>
      </c>
      <c r="L1" t="s">
        <v>50</v>
      </c>
      <c r="M1" t="s">
        <v>51</v>
      </c>
      <c r="N1" t="s">
        <v>92</v>
      </c>
      <c r="O1" t="s">
        <v>93</v>
      </c>
    </row>
    <row r="2" spans="1:15" ht="17" customHeight="1" x14ac:dyDescent="0.2">
      <c r="A2" s="3"/>
      <c r="B2" s="3"/>
      <c r="C2" s="3"/>
      <c r="D2" t="s">
        <v>0</v>
      </c>
      <c r="E2" t="s">
        <v>0</v>
      </c>
      <c r="F2" t="s">
        <v>1</v>
      </c>
      <c r="G2" t="s">
        <v>2</v>
      </c>
      <c r="H2" t="s">
        <v>2</v>
      </c>
      <c r="I2" t="s">
        <v>30</v>
      </c>
      <c r="J2" t="s">
        <v>106</v>
      </c>
      <c r="K2" t="s">
        <v>106</v>
      </c>
      <c r="L2" t="s">
        <v>106</v>
      </c>
      <c r="M2" t="s">
        <v>107</v>
      </c>
      <c r="N2" s="3"/>
      <c r="O2" s="3"/>
    </row>
    <row r="3" spans="1:15" x14ac:dyDescent="0.2">
      <c r="A3" t="s">
        <v>3</v>
      </c>
      <c r="B3" t="s">
        <v>52</v>
      </c>
      <c r="C3" t="s">
        <v>4</v>
      </c>
      <c r="D3">
        <v>0.02</v>
      </c>
      <c r="E3">
        <v>0.42699999999999999</v>
      </c>
      <c r="F3">
        <v>2.1700000000000001E-2</v>
      </c>
      <c r="G3">
        <v>1.7350000000000001</v>
      </c>
      <c r="H3">
        <v>0.98099999999999998</v>
      </c>
      <c r="I3">
        <v>31.23</v>
      </c>
      <c r="J3" t="s">
        <v>53</v>
      </c>
      <c r="L3" t="s">
        <v>54</v>
      </c>
      <c r="M3" t="s">
        <v>55</v>
      </c>
      <c r="N3">
        <v>32</v>
      </c>
      <c r="O3">
        <v>7</v>
      </c>
    </row>
    <row r="4" spans="1:15" x14ac:dyDescent="0.2">
      <c r="A4" t="s">
        <v>3</v>
      </c>
      <c r="B4" t="s">
        <v>56</v>
      </c>
      <c r="C4" t="s">
        <v>5</v>
      </c>
      <c r="D4">
        <v>0.02</v>
      </c>
      <c r="E4">
        <v>0.434</v>
      </c>
      <c r="F4">
        <v>2.1600000000000001E-2</v>
      </c>
      <c r="G4">
        <v>1.349</v>
      </c>
      <c r="H4">
        <v>7.202</v>
      </c>
      <c r="I4">
        <v>83.24</v>
      </c>
      <c r="J4" s="2" t="s">
        <v>94</v>
      </c>
      <c r="L4" t="s">
        <v>54</v>
      </c>
      <c r="M4" t="s">
        <v>55</v>
      </c>
      <c r="N4">
        <v>27</v>
      </c>
      <c r="O4">
        <v>11</v>
      </c>
    </row>
    <row r="5" spans="1:15" x14ac:dyDescent="0.2">
      <c r="A5" t="s">
        <v>3</v>
      </c>
      <c r="B5" t="s">
        <v>57</v>
      </c>
      <c r="C5" t="s">
        <v>6</v>
      </c>
      <c r="D5">
        <v>0.02</v>
      </c>
      <c r="E5">
        <v>0.443</v>
      </c>
      <c r="F5">
        <v>1.4999999999999999E-2</v>
      </c>
      <c r="G5">
        <v>1.5049999999999999</v>
      </c>
      <c r="H5">
        <v>0.13900000000000001</v>
      </c>
      <c r="I5">
        <v>19.079999999999998</v>
      </c>
      <c r="J5" t="s">
        <v>58</v>
      </c>
      <c r="L5" t="s">
        <v>54</v>
      </c>
      <c r="M5" t="s">
        <v>55</v>
      </c>
      <c r="N5">
        <v>14</v>
      </c>
      <c r="O5">
        <v>4</v>
      </c>
    </row>
    <row r="6" spans="1:15" x14ac:dyDescent="0.2">
      <c r="A6" t="s">
        <v>3</v>
      </c>
      <c r="B6" t="s">
        <v>59</v>
      </c>
      <c r="C6" t="s">
        <v>7</v>
      </c>
      <c r="D6">
        <v>0.02</v>
      </c>
      <c r="E6">
        <v>0.46200000000000002</v>
      </c>
      <c r="F6">
        <v>1.49E-2</v>
      </c>
      <c r="G6">
        <v>1.397</v>
      </c>
      <c r="H6">
        <v>0.29499999999999998</v>
      </c>
      <c r="I6">
        <v>34.880000000000003</v>
      </c>
      <c r="J6" t="s">
        <v>60</v>
      </c>
      <c r="L6" t="s">
        <v>54</v>
      </c>
      <c r="M6" t="s">
        <v>55</v>
      </c>
      <c r="N6">
        <v>9</v>
      </c>
      <c r="O6">
        <v>2</v>
      </c>
    </row>
    <row r="7" spans="1:15" x14ac:dyDescent="0.2">
      <c r="A7" t="s">
        <v>3</v>
      </c>
      <c r="B7" t="s">
        <v>61</v>
      </c>
      <c r="C7" t="s">
        <v>8</v>
      </c>
      <c r="D7">
        <v>0.01</v>
      </c>
      <c r="E7">
        <v>0.38100000000000001</v>
      </c>
      <c r="F7">
        <v>4.2799999999999998E-2</v>
      </c>
      <c r="G7">
        <v>1.8080000000000001</v>
      </c>
      <c r="H7">
        <v>2.4E-2</v>
      </c>
      <c r="I7">
        <v>63.65</v>
      </c>
      <c r="L7" t="s">
        <v>54</v>
      </c>
      <c r="M7" t="s">
        <v>62</v>
      </c>
      <c r="N7">
        <v>26</v>
      </c>
      <c r="O7">
        <v>6</v>
      </c>
    </row>
    <row r="8" spans="1:15" x14ac:dyDescent="0.2">
      <c r="A8" t="s">
        <v>3</v>
      </c>
      <c r="B8" t="s">
        <v>63</v>
      </c>
      <c r="C8" t="s">
        <v>9</v>
      </c>
      <c r="D8">
        <v>0.01</v>
      </c>
      <c r="E8">
        <v>0.38500000000000001</v>
      </c>
      <c r="F8">
        <v>2.0899999999999998E-2</v>
      </c>
      <c r="G8">
        <v>1.242</v>
      </c>
      <c r="H8">
        <v>-1.2</v>
      </c>
      <c r="I8">
        <v>104.1</v>
      </c>
      <c r="J8" t="s">
        <v>64</v>
      </c>
      <c r="L8" t="s">
        <v>54</v>
      </c>
      <c r="M8" t="s">
        <v>65</v>
      </c>
      <c r="N8">
        <v>8</v>
      </c>
      <c r="O8">
        <v>2</v>
      </c>
    </row>
    <row r="9" spans="1:15" x14ac:dyDescent="0.2">
      <c r="A9" t="s">
        <v>10</v>
      </c>
      <c r="B9" t="s">
        <v>66</v>
      </c>
      <c r="C9" t="s">
        <v>11</v>
      </c>
      <c r="D9">
        <v>0</v>
      </c>
      <c r="E9">
        <v>0.40100000000000002</v>
      </c>
      <c r="F9">
        <v>1.83E-2</v>
      </c>
      <c r="G9">
        <v>1.248</v>
      </c>
      <c r="H9">
        <v>0.95199999999999996</v>
      </c>
      <c r="I9">
        <v>14.58</v>
      </c>
      <c r="K9" s="2" t="s">
        <v>95</v>
      </c>
      <c r="L9" t="s">
        <v>54</v>
      </c>
      <c r="N9">
        <v>6</v>
      </c>
      <c r="O9">
        <v>2</v>
      </c>
    </row>
    <row r="10" spans="1:15" x14ac:dyDescent="0.2">
      <c r="A10" t="s">
        <v>10</v>
      </c>
      <c r="B10" t="s">
        <v>67</v>
      </c>
      <c r="C10" t="s">
        <v>12</v>
      </c>
      <c r="D10">
        <v>0.01</v>
      </c>
      <c r="E10">
        <v>0.433</v>
      </c>
      <c r="F10">
        <v>1.0500000000000001E-2</v>
      </c>
      <c r="G10">
        <v>1.278</v>
      </c>
      <c r="H10">
        <v>-1.919</v>
      </c>
      <c r="I10">
        <v>3</v>
      </c>
      <c r="K10" s="2" t="s">
        <v>96</v>
      </c>
      <c r="L10" t="s">
        <v>54</v>
      </c>
      <c r="N10">
        <v>43</v>
      </c>
      <c r="O10">
        <v>4</v>
      </c>
    </row>
    <row r="11" spans="1:15" x14ac:dyDescent="0.2">
      <c r="A11" t="s">
        <v>10</v>
      </c>
      <c r="B11" t="s">
        <v>69</v>
      </c>
      <c r="C11" t="s">
        <v>68</v>
      </c>
      <c r="D11">
        <v>0</v>
      </c>
      <c r="E11">
        <v>0.43</v>
      </c>
      <c r="F11">
        <v>7.0000000000000001E-3</v>
      </c>
      <c r="G11">
        <v>1.2669999999999999</v>
      </c>
      <c r="H11">
        <v>-2.387</v>
      </c>
      <c r="I11">
        <v>1.75</v>
      </c>
      <c r="K11" t="s">
        <v>70</v>
      </c>
      <c r="L11" t="s">
        <v>54</v>
      </c>
      <c r="N11">
        <v>29</v>
      </c>
      <c r="O11">
        <v>6</v>
      </c>
    </row>
    <row r="12" spans="1:15" x14ac:dyDescent="0.2">
      <c r="A12" t="s">
        <v>23</v>
      </c>
      <c r="B12" t="s">
        <v>71</v>
      </c>
      <c r="C12" t="s">
        <v>13</v>
      </c>
      <c r="D12">
        <v>0.01</v>
      </c>
      <c r="E12">
        <v>0.44800000000000001</v>
      </c>
      <c r="F12">
        <v>1.2800000000000001E-2</v>
      </c>
      <c r="G12">
        <v>1.135</v>
      </c>
      <c r="H12">
        <v>4.5810000000000004</v>
      </c>
      <c r="I12">
        <v>3.83</v>
      </c>
      <c r="K12" t="s">
        <v>72</v>
      </c>
      <c r="L12" t="s">
        <v>54</v>
      </c>
      <c r="N12">
        <v>12</v>
      </c>
      <c r="O12">
        <v>10</v>
      </c>
    </row>
    <row r="13" spans="1:15" x14ac:dyDescent="0.2">
      <c r="A13" t="s">
        <v>23</v>
      </c>
      <c r="B13" t="s">
        <v>73</v>
      </c>
      <c r="C13" t="s">
        <v>14</v>
      </c>
      <c r="D13">
        <v>0.01</v>
      </c>
      <c r="E13">
        <v>0.59099999999999997</v>
      </c>
      <c r="F13">
        <v>2.1600000000000001E-2</v>
      </c>
      <c r="G13">
        <v>1.107</v>
      </c>
      <c r="H13">
        <v>-5.5490000000000004</v>
      </c>
      <c r="I13">
        <v>6.31</v>
      </c>
      <c r="K13" t="s">
        <v>74</v>
      </c>
      <c r="L13" t="s">
        <v>54</v>
      </c>
      <c r="N13">
        <v>13</v>
      </c>
      <c r="O13">
        <v>0</v>
      </c>
    </row>
    <row r="14" spans="1:15" x14ac:dyDescent="0.2">
      <c r="A14" t="s">
        <v>23</v>
      </c>
      <c r="B14" t="s">
        <v>75</v>
      </c>
      <c r="C14" t="s">
        <v>15</v>
      </c>
      <c r="D14">
        <v>0.01</v>
      </c>
      <c r="E14">
        <v>0.53</v>
      </c>
      <c r="F14">
        <v>1.66E-2</v>
      </c>
      <c r="G14">
        <v>1.091</v>
      </c>
      <c r="H14">
        <v>-4.4939999999999998</v>
      </c>
      <c r="I14">
        <v>2.25</v>
      </c>
      <c r="K14" t="s">
        <v>76</v>
      </c>
      <c r="L14" t="s">
        <v>54</v>
      </c>
      <c r="N14">
        <v>9</v>
      </c>
      <c r="O14">
        <v>5</v>
      </c>
    </row>
    <row r="15" spans="1:15" x14ac:dyDescent="0.2">
      <c r="A15" t="s">
        <v>16</v>
      </c>
      <c r="B15" t="s">
        <v>77</v>
      </c>
      <c r="C15" t="s">
        <v>17</v>
      </c>
      <c r="D15">
        <v>0.01</v>
      </c>
      <c r="E15">
        <v>0.41599999999999998</v>
      </c>
      <c r="F15">
        <v>8.3999999999999995E-3</v>
      </c>
      <c r="G15">
        <v>1.4370000000000001</v>
      </c>
      <c r="H15">
        <v>-1.357</v>
      </c>
      <c r="I15">
        <v>29.83</v>
      </c>
      <c r="J15" t="s">
        <v>78</v>
      </c>
      <c r="L15" t="s">
        <v>54</v>
      </c>
      <c r="N15">
        <v>10</v>
      </c>
      <c r="O15">
        <v>2</v>
      </c>
    </row>
    <row r="16" spans="1:15" ht="17" customHeight="1" x14ac:dyDescent="0.2">
      <c r="A16" t="s">
        <v>16</v>
      </c>
      <c r="B16" t="s">
        <v>79</v>
      </c>
      <c r="C16" t="s">
        <v>18</v>
      </c>
      <c r="D16">
        <v>0.01</v>
      </c>
      <c r="E16">
        <v>0.41699999999999998</v>
      </c>
      <c r="F16">
        <v>5.4000000000000003E-3</v>
      </c>
      <c r="G16">
        <v>1.302</v>
      </c>
      <c r="H16">
        <v>-0.33500000000000002</v>
      </c>
      <c r="I16">
        <v>0.9</v>
      </c>
      <c r="J16" t="s">
        <v>80</v>
      </c>
      <c r="L16" t="s">
        <v>54</v>
      </c>
      <c r="N16">
        <v>67</v>
      </c>
      <c r="O16">
        <v>2</v>
      </c>
    </row>
    <row r="17" spans="1:15" x14ac:dyDescent="0.2">
      <c r="A17" t="s">
        <v>81</v>
      </c>
      <c r="B17" t="s">
        <v>82</v>
      </c>
      <c r="C17" t="s">
        <v>19</v>
      </c>
      <c r="D17">
        <v>0.01</v>
      </c>
      <c r="E17">
        <v>0.52800000000000002</v>
      </c>
      <c r="F17">
        <v>2.3699999999999999E-2</v>
      </c>
      <c r="G17">
        <v>1.282</v>
      </c>
      <c r="H17">
        <v>-1.478</v>
      </c>
      <c r="I17">
        <v>87.45</v>
      </c>
      <c r="K17" t="s">
        <v>83</v>
      </c>
      <c r="L17" t="s">
        <v>84</v>
      </c>
      <c r="N17">
        <v>15</v>
      </c>
      <c r="O17">
        <v>0</v>
      </c>
    </row>
    <row r="18" spans="1:15" x14ac:dyDescent="0.2">
      <c r="A18" t="s">
        <v>81</v>
      </c>
      <c r="B18" t="s">
        <v>85</v>
      </c>
      <c r="C18" t="s">
        <v>20</v>
      </c>
      <c r="D18">
        <v>0.01</v>
      </c>
      <c r="E18">
        <v>0.78600000000000003</v>
      </c>
      <c r="F18">
        <v>2.1100000000000001E-2</v>
      </c>
      <c r="G18">
        <v>1.2789999999999999</v>
      </c>
      <c r="H18">
        <v>-1.2210000000000001</v>
      </c>
      <c r="I18">
        <v>12.36</v>
      </c>
      <c r="K18" t="s">
        <v>83</v>
      </c>
      <c r="L18" t="s">
        <v>86</v>
      </c>
      <c r="N18">
        <v>20</v>
      </c>
      <c r="O18">
        <v>4</v>
      </c>
    </row>
    <row r="19" spans="1:15" x14ac:dyDescent="0.2">
      <c r="A19" t="s">
        <v>81</v>
      </c>
      <c r="B19" t="s">
        <v>87</v>
      </c>
      <c r="C19" t="s">
        <v>21</v>
      </c>
      <c r="D19">
        <v>0</v>
      </c>
      <c r="E19">
        <v>0.71899999999999997</v>
      </c>
      <c r="F19">
        <v>1.9099999999999999E-2</v>
      </c>
      <c r="G19">
        <v>1.137</v>
      </c>
      <c r="H19">
        <v>0</v>
      </c>
      <c r="I19">
        <v>4.4800000000000004</v>
      </c>
      <c r="K19" t="s">
        <v>88</v>
      </c>
      <c r="L19" t="s">
        <v>89</v>
      </c>
      <c r="N19">
        <v>25</v>
      </c>
      <c r="O19">
        <v>4</v>
      </c>
    </row>
    <row r="20" spans="1:15" x14ac:dyDescent="0.2">
      <c r="A20" t="s">
        <v>81</v>
      </c>
      <c r="B20" t="s">
        <v>90</v>
      </c>
      <c r="C20" t="s">
        <v>22</v>
      </c>
      <c r="D20">
        <v>0</v>
      </c>
      <c r="E20">
        <v>0.76500000000000001</v>
      </c>
      <c r="F20">
        <v>2.0500000000000001E-2</v>
      </c>
      <c r="G20">
        <v>1.151</v>
      </c>
      <c r="H20">
        <v>0</v>
      </c>
      <c r="I20">
        <v>13.14</v>
      </c>
      <c r="K20" t="s">
        <v>88</v>
      </c>
      <c r="L20" t="s">
        <v>91</v>
      </c>
      <c r="N20">
        <v>20</v>
      </c>
      <c r="O20">
        <v>0</v>
      </c>
    </row>
    <row r="21" spans="1:15" x14ac:dyDescent="0.2">
      <c r="A21" t="s">
        <v>3</v>
      </c>
      <c r="B21" t="s">
        <v>52</v>
      </c>
      <c r="C21" t="s">
        <v>31</v>
      </c>
      <c r="D21">
        <v>0.01</v>
      </c>
      <c r="E21">
        <v>0.36599999999999999</v>
      </c>
      <c r="F21">
        <v>1.6E-2</v>
      </c>
      <c r="G21">
        <v>2.1629999999999998</v>
      </c>
      <c r="H21">
        <v>2.8679999999999999</v>
      </c>
      <c r="I21">
        <v>22.32</v>
      </c>
      <c r="J21" t="s">
        <v>53</v>
      </c>
      <c r="L21" t="s">
        <v>97</v>
      </c>
      <c r="M21" t="s">
        <v>55</v>
      </c>
      <c r="N21">
        <v>109</v>
      </c>
      <c r="O21">
        <v>18</v>
      </c>
    </row>
    <row r="22" spans="1:15" x14ac:dyDescent="0.2">
      <c r="A22" t="s">
        <v>3</v>
      </c>
      <c r="B22" t="s">
        <v>56</v>
      </c>
      <c r="C22" t="s">
        <v>32</v>
      </c>
      <c r="D22">
        <v>0.02</v>
      </c>
      <c r="E22">
        <v>0.38700000000000001</v>
      </c>
      <c r="F22">
        <v>1.61E-2</v>
      </c>
      <c r="G22">
        <v>1.524</v>
      </c>
      <c r="H22">
        <v>2.44</v>
      </c>
      <c r="I22">
        <v>22.76</v>
      </c>
      <c r="J22" s="1">
        <v>45948</v>
      </c>
      <c r="L22" t="s">
        <v>97</v>
      </c>
      <c r="M22" t="s">
        <v>55</v>
      </c>
      <c r="N22">
        <v>14</v>
      </c>
      <c r="O22">
        <v>9</v>
      </c>
    </row>
    <row r="23" spans="1:15" x14ac:dyDescent="0.2">
      <c r="A23" t="s">
        <v>3</v>
      </c>
      <c r="B23" t="s">
        <v>57</v>
      </c>
      <c r="C23" t="s">
        <v>33</v>
      </c>
      <c r="D23">
        <v>0.01</v>
      </c>
      <c r="E23">
        <v>0.34</v>
      </c>
      <c r="F23">
        <v>1.72E-2</v>
      </c>
      <c r="G23">
        <v>1.7030000000000001</v>
      </c>
      <c r="H23">
        <v>0</v>
      </c>
      <c r="I23">
        <v>12.37</v>
      </c>
      <c r="J23" t="s">
        <v>58</v>
      </c>
      <c r="L23" t="s">
        <v>97</v>
      </c>
      <c r="M23" t="s">
        <v>55</v>
      </c>
      <c r="N23">
        <v>23</v>
      </c>
      <c r="O23">
        <v>1</v>
      </c>
    </row>
    <row r="24" spans="1:15" x14ac:dyDescent="0.2">
      <c r="A24" t="s">
        <v>3</v>
      </c>
      <c r="B24" t="s">
        <v>59</v>
      </c>
      <c r="C24" t="s">
        <v>34</v>
      </c>
      <c r="D24">
        <v>0.01</v>
      </c>
      <c r="E24">
        <v>0.36399999999999999</v>
      </c>
      <c r="F24">
        <v>1.3599999999999999E-2</v>
      </c>
      <c r="G24">
        <v>1.488</v>
      </c>
      <c r="H24">
        <v>2.1789999999999998</v>
      </c>
      <c r="I24">
        <v>25.81</v>
      </c>
      <c r="J24" t="s">
        <v>60</v>
      </c>
      <c r="L24" t="s">
        <v>97</v>
      </c>
      <c r="M24" t="s">
        <v>55</v>
      </c>
      <c r="N24">
        <v>9</v>
      </c>
      <c r="O24">
        <v>5</v>
      </c>
    </row>
    <row r="25" spans="1:15" x14ac:dyDescent="0.2">
      <c r="A25" t="s">
        <v>3</v>
      </c>
      <c r="B25" t="s">
        <v>61</v>
      </c>
      <c r="C25" t="s">
        <v>35</v>
      </c>
      <c r="D25">
        <v>0.01</v>
      </c>
      <c r="E25">
        <v>0.33700000000000002</v>
      </c>
      <c r="F25">
        <v>3.0300000000000001E-2</v>
      </c>
      <c r="G25">
        <v>2.8879999999999999</v>
      </c>
      <c r="H25">
        <v>7.3999999999999996E-2</v>
      </c>
      <c r="I25">
        <v>17.420000000000002</v>
      </c>
      <c r="L25" t="s">
        <v>97</v>
      </c>
      <c r="M25" t="s">
        <v>62</v>
      </c>
      <c r="N25">
        <v>17</v>
      </c>
      <c r="O25">
        <v>18</v>
      </c>
    </row>
    <row r="26" spans="1:15" x14ac:dyDescent="0.2">
      <c r="A26" t="s">
        <v>3</v>
      </c>
      <c r="B26" t="s">
        <v>63</v>
      </c>
      <c r="C26" t="s">
        <v>36</v>
      </c>
      <c r="D26">
        <v>0.01</v>
      </c>
      <c r="E26">
        <v>0.33300000000000002</v>
      </c>
      <c r="F26">
        <v>1.6E-2</v>
      </c>
      <c r="G26">
        <v>1.2889999999999999</v>
      </c>
      <c r="H26">
        <v>-1.01</v>
      </c>
      <c r="I26">
        <v>32.83</v>
      </c>
      <c r="J26" t="s">
        <v>64</v>
      </c>
      <c r="L26" t="s">
        <v>97</v>
      </c>
      <c r="M26" t="s">
        <v>65</v>
      </c>
      <c r="N26">
        <v>15</v>
      </c>
      <c r="O26">
        <v>4</v>
      </c>
    </row>
    <row r="27" spans="1:15" x14ac:dyDescent="0.2">
      <c r="A27" t="s">
        <v>3</v>
      </c>
      <c r="B27" t="s">
        <v>98</v>
      </c>
      <c r="C27" t="s">
        <v>37</v>
      </c>
      <c r="D27">
        <v>0.01</v>
      </c>
      <c r="E27">
        <v>0.51300000000000001</v>
      </c>
      <c r="F27">
        <v>1.2E-2</v>
      </c>
      <c r="G27">
        <v>1.153</v>
      </c>
      <c r="H27">
        <v>-2.0129999999999999</v>
      </c>
      <c r="I27">
        <v>37.549999999999997</v>
      </c>
      <c r="J27" t="s">
        <v>60</v>
      </c>
      <c r="L27" t="s">
        <v>97</v>
      </c>
      <c r="M27" t="s">
        <v>99</v>
      </c>
      <c r="N27">
        <v>15</v>
      </c>
      <c r="O27">
        <v>0</v>
      </c>
    </row>
    <row r="28" spans="1:15" x14ac:dyDescent="0.2">
      <c r="A28" t="s">
        <v>10</v>
      </c>
      <c r="B28" t="s">
        <v>66</v>
      </c>
      <c r="C28" t="s">
        <v>38</v>
      </c>
      <c r="D28">
        <v>0</v>
      </c>
      <c r="E28">
        <v>0.45400000000000001</v>
      </c>
      <c r="F28">
        <v>1.1299999999999999E-2</v>
      </c>
      <c r="G28">
        <v>1.3460000000000001</v>
      </c>
      <c r="H28">
        <v>-0.90400000000000003</v>
      </c>
      <c r="I28">
        <v>8.64</v>
      </c>
      <c r="K28" s="2" t="s">
        <v>95</v>
      </c>
      <c r="L28" t="s">
        <v>97</v>
      </c>
      <c r="N28">
        <v>14</v>
      </c>
      <c r="O28">
        <v>0</v>
      </c>
    </row>
    <row r="29" spans="1:15" x14ac:dyDescent="0.2">
      <c r="A29" t="s">
        <v>10</v>
      </c>
      <c r="B29" t="s">
        <v>67</v>
      </c>
      <c r="C29" t="s">
        <v>39</v>
      </c>
      <c r="D29">
        <v>0</v>
      </c>
      <c r="E29">
        <v>0.45800000000000002</v>
      </c>
      <c r="F29">
        <v>9.7000000000000003E-3</v>
      </c>
      <c r="G29">
        <v>1.3759999999999999</v>
      </c>
      <c r="H29">
        <v>-1.0129999999999999</v>
      </c>
      <c r="I29">
        <v>3.77</v>
      </c>
      <c r="K29" s="2" t="s">
        <v>96</v>
      </c>
      <c r="L29" t="s">
        <v>97</v>
      </c>
      <c r="N29">
        <v>30</v>
      </c>
      <c r="O29">
        <v>3</v>
      </c>
    </row>
    <row r="30" spans="1:15" x14ac:dyDescent="0.2">
      <c r="A30" t="s">
        <v>10</v>
      </c>
      <c r="B30" t="s">
        <v>69</v>
      </c>
      <c r="C30" t="s">
        <v>40</v>
      </c>
      <c r="D30">
        <v>0.01</v>
      </c>
      <c r="E30">
        <v>0.47199999999999998</v>
      </c>
      <c r="F30">
        <v>0.01</v>
      </c>
      <c r="G30">
        <v>1.246</v>
      </c>
      <c r="H30">
        <v>-0.79300000000000004</v>
      </c>
      <c r="I30">
        <v>2.2999999999999998</v>
      </c>
      <c r="K30" t="s">
        <v>70</v>
      </c>
      <c r="L30" t="s">
        <v>97</v>
      </c>
      <c r="N30">
        <v>25</v>
      </c>
      <c r="O30">
        <v>5</v>
      </c>
    </row>
    <row r="31" spans="1:15" x14ac:dyDescent="0.2">
      <c r="A31" t="s">
        <v>23</v>
      </c>
      <c r="B31" t="s">
        <v>71</v>
      </c>
      <c r="C31" t="s">
        <v>41</v>
      </c>
      <c r="D31">
        <v>0</v>
      </c>
      <c r="E31">
        <v>0.44400000000000001</v>
      </c>
      <c r="F31">
        <v>1.43E-2</v>
      </c>
      <c r="G31">
        <v>1.1259999999999999</v>
      </c>
      <c r="H31">
        <v>2.3570000000000002</v>
      </c>
      <c r="I31">
        <v>2.12</v>
      </c>
      <c r="K31" t="s">
        <v>72</v>
      </c>
      <c r="L31" t="s">
        <v>97</v>
      </c>
      <c r="N31">
        <v>11</v>
      </c>
      <c r="O31">
        <v>9</v>
      </c>
    </row>
    <row r="32" spans="1:15" x14ac:dyDescent="0.2">
      <c r="A32" t="s">
        <v>23</v>
      </c>
      <c r="B32" t="s">
        <v>73</v>
      </c>
      <c r="C32" t="s">
        <v>42</v>
      </c>
      <c r="D32">
        <v>0.01</v>
      </c>
      <c r="E32">
        <v>0.56100000000000005</v>
      </c>
      <c r="F32">
        <v>8.8000000000000005E-3</v>
      </c>
      <c r="G32">
        <v>1.1579999999999999</v>
      </c>
      <c r="H32">
        <v>-3.1720000000000002</v>
      </c>
      <c r="I32">
        <v>1.08</v>
      </c>
      <c r="K32" t="s">
        <v>74</v>
      </c>
      <c r="L32" t="s">
        <v>97</v>
      </c>
      <c r="N32">
        <v>25</v>
      </c>
      <c r="O32">
        <v>4</v>
      </c>
    </row>
    <row r="33" spans="1:15" x14ac:dyDescent="0.2">
      <c r="A33" t="s">
        <v>23</v>
      </c>
      <c r="B33" t="s">
        <v>75</v>
      </c>
      <c r="C33" t="s">
        <v>43</v>
      </c>
      <c r="D33">
        <v>0.01</v>
      </c>
      <c r="E33">
        <v>0.57299999999999995</v>
      </c>
      <c r="F33">
        <v>2.7900000000000001E-2</v>
      </c>
      <c r="G33">
        <v>1.08</v>
      </c>
      <c r="H33">
        <v>-6.0910000000000002</v>
      </c>
      <c r="I33">
        <v>9.69</v>
      </c>
      <c r="K33" t="s">
        <v>76</v>
      </c>
      <c r="L33" t="s">
        <v>97</v>
      </c>
      <c r="N33">
        <v>19</v>
      </c>
      <c r="O33">
        <v>3</v>
      </c>
    </row>
    <row r="34" spans="1:15" x14ac:dyDescent="0.2">
      <c r="A34" t="s">
        <v>16</v>
      </c>
      <c r="B34" t="s">
        <v>77</v>
      </c>
      <c r="C34" t="s">
        <v>44</v>
      </c>
      <c r="D34">
        <v>0.01</v>
      </c>
      <c r="E34">
        <v>0.39400000000000002</v>
      </c>
      <c r="F34">
        <v>3.3E-3</v>
      </c>
      <c r="G34">
        <v>1.617</v>
      </c>
      <c r="H34">
        <v>0.51400000000000001</v>
      </c>
      <c r="I34">
        <v>2.5</v>
      </c>
      <c r="J34" t="s">
        <v>78</v>
      </c>
      <c r="L34" t="s">
        <v>97</v>
      </c>
      <c r="N34">
        <v>9</v>
      </c>
      <c r="O34">
        <v>4</v>
      </c>
    </row>
    <row r="35" spans="1:15" x14ac:dyDescent="0.2">
      <c r="A35" t="s">
        <v>16</v>
      </c>
      <c r="B35" t="s">
        <v>79</v>
      </c>
      <c r="C35" t="s">
        <v>45</v>
      </c>
      <c r="D35">
        <v>0.01</v>
      </c>
      <c r="E35">
        <v>0.41</v>
      </c>
      <c r="F35">
        <v>7.7999999999999996E-3</v>
      </c>
      <c r="G35">
        <v>1.2869999999999999</v>
      </c>
      <c r="H35">
        <v>0</v>
      </c>
      <c r="I35">
        <v>2.79</v>
      </c>
      <c r="J35" t="s">
        <v>80</v>
      </c>
      <c r="L35" t="s">
        <v>97</v>
      </c>
      <c r="N35">
        <v>53</v>
      </c>
      <c r="O35">
        <v>3</v>
      </c>
    </row>
    <row r="36" spans="1:15" x14ac:dyDescent="0.2">
      <c r="A36" t="s">
        <v>24</v>
      </c>
      <c r="B36" t="s">
        <v>100</v>
      </c>
      <c r="C36" t="s">
        <v>46</v>
      </c>
      <c r="D36">
        <v>0</v>
      </c>
      <c r="E36">
        <v>0.88900000000000001</v>
      </c>
      <c r="F36">
        <v>9.7000000000000003E-3</v>
      </c>
      <c r="G36">
        <v>1.3640000000000001</v>
      </c>
      <c r="H36">
        <v>-0.66500000000000004</v>
      </c>
      <c r="I36">
        <v>1.46</v>
      </c>
      <c r="L36" t="s">
        <v>101</v>
      </c>
      <c r="N36">
        <v>16</v>
      </c>
      <c r="O36">
        <v>4</v>
      </c>
    </row>
    <row r="37" spans="1:15" x14ac:dyDescent="0.2">
      <c r="A37" t="s">
        <v>24</v>
      </c>
      <c r="B37" t="s">
        <v>102</v>
      </c>
      <c r="C37" t="s">
        <v>47</v>
      </c>
      <c r="D37">
        <v>0.01</v>
      </c>
      <c r="E37">
        <v>0.84899999999999998</v>
      </c>
      <c r="F37">
        <v>1.1900000000000001E-2</v>
      </c>
      <c r="G37">
        <v>1.272</v>
      </c>
      <c r="H37">
        <v>-1.2490000000000001</v>
      </c>
      <c r="I37">
        <v>3.4</v>
      </c>
      <c r="L37" t="s">
        <v>101</v>
      </c>
      <c r="N37">
        <v>36</v>
      </c>
      <c r="O37">
        <v>4</v>
      </c>
    </row>
    <row r="38" spans="1:15" x14ac:dyDescent="0.2">
      <c r="A38" t="s">
        <v>24</v>
      </c>
      <c r="B38" t="s">
        <v>103</v>
      </c>
      <c r="C38" t="s">
        <v>48</v>
      </c>
      <c r="D38">
        <v>0.01</v>
      </c>
      <c r="E38">
        <v>0.57999999999999996</v>
      </c>
      <c r="F38">
        <v>1.2699999999999999E-2</v>
      </c>
      <c r="G38">
        <v>1.3160000000000001</v>
      </c>
      <c r="H38">
        <v>-0.78600000000000003</v>
      </c>
      <c r="I38">
        <v>35.950000000000003</v>
      </c>
      <c r="L38" t="s">
        <v>104</v>
      </c>
      <c r="N38">
        <v>7</v>
      </c>
      <c r="O38">
        <v>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69B2-3BF2-9644-A93F-44AEB9EFAC7B}">
  <dimension ref="A1:K36"/>
  <sheetViews>
    <sheetView workbookViewId="0">
      <selection sqref="A1:C36"/>
    </sheetView>
  </sheetViews>
  <sheetFormatPr baseColWidth="10" defaultRowHeight="16" x14ac:dyDescent="0.2"/>
  <sheetData>
    <row r="1" spans="1:11" x14ac:dyDescent="0.2">
      <c r="A1" s="6" t="s">
        <v>4</v>
      </c>
      <c r="B1" s="6" t="s">
        <v>3</v>
      </c>
      <c r="C1" s="6" t="s">
        <v>52</v>
      </c>
    </row>
    <row r="2" spans="1:11" x14ac:dyDescent="0.2">
      <c r="A2" s="6" t="s">
        <v>5</v>
      </c>
      <c r="B2" s="6" t="s">
        <v>3</v>
      </c>
      <c r="C2" s="6" t="s">
        <v>56</v>
      </c>
    </row>
    <row r="3" spans="1:11" x14ac:dyDescent="0.2">
      <c r="A3" s="6" t="s">
        <v>6</v>
      </c>
      <c r="B3" s="6" t="s">
        <v>3</v>
      </c>
      <c r="C3" s="6" t="s">
        <v>57</v>
      </c>
    </row>
    <row r="4" spans="1:11" x14ac:dyDescent="0.2">
      <c r="A4" s="6" t="s">
        <v>7</v>
      </c>
      <c r="B4" s="6" t="s">
        <v>3</v>
      </c>
      <c r="C4" s="6" t="s">
        <v>59</v>
      </c>
    </row>
    <row r="5" spans="1:11" x14ac:dyDescent="0.2">
      <c r="A5" s="6" t="s">
        <v>8</v>
      </c>
      <c r="B5" s="6" t="s">
        <v>3</v>
      </c>
      <c r="C5" s="6" t="s">
        <v>61</v>
      </c>
    </row>
    <row r="6" spans="1:11" x14ac:dyDescent="0.2">
      <c r="A6" s="6" t="s">
        <v>9</v>
      </c>
      <c r="B6" s="6" t="s">
        <v>3</v>
      </c>
      <c r="C6" s="6" t="s">
        <v>63</v>
      </c>
    </row>
    <row r="7" spans="1:11" x14ac:dyDescent="0.2">
      <c r="A7" s="6" t="s">
        <v>11</v>
      </c>
      <c r="B7" s="6" t="s">
        <v>10</v>
      </c>
      <c r="C7" s="6" t="s">
        <v>66</v>
      </c>
    </row>
    <row r="8" spans="1:11" x14ac:dyDescent="0.2">
      <c r="A8" s="6" t="s">
        <v>12</v>
      </c>
      <c r="B8" s="6" t="s">
        <v>10</v>
      </c>
      <c r="C8" s="6" t="s">
        <v>67</v>
      </c>
    </row>
    <row r="9" spans="1:11" x14ac:dyDescent="0.2">
      <c r="A9" s="6" t="s">
        <v>68</v>
      </c>
      <c r="B9" s="6" t="s">
        <v>10</v>
      </c>
      <c r="C9" s="6" t="s">
        <v>69</v>
      </c>
    </row>
    <row r="10" spans="1:11" x14ac:dyDescent="0.2">
      <c r="A10" s="6" t="s">
        <v>13</v>
      </c>
      <c r="B10" s="6" t="s">
        <v>23</v>
      </c>
      <c r="C10" s="6" t="s">
        <v>71</v>
      </c>
      <c r="I10" t="s">
        <v>14</v>
      </c>
      <c r="J10" t="str">
        <f>VLOOKUP(I10,$A$1:$C$36,2)</f>
        <v>Klei</v>
      </c>
      <c r="K10" t="str">
        <f>VLOOKUP(I10,$A$1:$C$36,3)</f>
        <v>matig zware klei</v>
      </c>
    </row>
    <row r="11" spans="1:11" x14ac:dyDescent="0.2">
      <c r="A11" s="6" t="s">
        <v>14</v>
      </c>
      <c r="B11" s="6" t="s">
        <v>23</v>
      </c>
      <c r="C11" s="6" t="s">
        <v>73</v>
      </c>
    </row>
    <row r="12" spans="1:11" x14ac:dyDescent="0.2">
      <c r="A12" s="6" t="s">
        <v>15</v>
      </c>
      <c r="B12" s="6" t="s">
        <v>23</v>
      </c>
      <c r="C12" s="6" t="s">
        <v>75</v>
      </c>
    </row>
    <row r="13" spans="1:11" x14ac:dyDescent="0.2">
      <c r="A13" s="6" t="s">
        <v>17</v>
      </c>
      <c r="B13" s="6" t="s">
        <v>16</v>
      </c>
      <c r="C13" s="6" t="s">
        <v>77</v>
      </c>
    </row>
    <row r="14" spans="1:11" x14ac:dyDescent="0.2">
      <c r="A14" s="6" t="s">
        <v>18</v>
      </c>
      <c r="B14" s="6" t="s">
        <v>16</v>
      </c>
      <c r="C14" s="6" t="s">
        <v>79</v>
      </c>
    </row>
    <row r="15" spans="1:11" x14ac:dyDescent="0.2">
      <c r="A15" s="6" t="s">
        <v>19</v>
      </c>
      <c r="B15" s="6" t="s">
        <v>81</v>
      </c>
      <c r="C15" s="6" t="s">
        <v>82</v>
      </c>
    </row>
    <row r="16" spans="1:11" x14ac:dyDescent="0.2">
      <c r="A16" s="6" t="s">
        <v>20</v>
      </c>
      <c r="B16" s="6" t="s">
        <v>81</v>
      </c>
      <c r="C16" s="6" t="s">
        <v>85</v>
      </c>
    </row>
    <row r="17" spans="1:3" x14ac:dyDescent="0.2">
      <c r="A17" s="6" t="s">
        <v>21</v>
      </c>
      <c r="B17" s="6" t="s">
        <v>81</v>
      </c>
      <c r="C17" s="6" t="s">
        <v>87</v>
      </c>
    </row>
    <row r="18" spans="1:3" x14ac:dyDescent="0.2">
      <c r="A18" s="6" t="s">
        <v>22</v>
      </c>
      <c r="B18" s="6" t="s">
        <v>81</v>
      </c>
      <c r="C18" s="6" t="s">
        <v>90</v>
      </c>
    </row>
    <row r="19" spans="1:3" x14ac:dyDescent="0.2">
      <c r="A19" s="6" t="s">
        <v>31</v>
      </c>
      <c r="B19" s="6" t="s">
        <v>3</v>
      </c>
      <c r="C19" s="6" t="s">
        <v>52</v>
      </c>
    </row>
    <row r="20" spans="1:3" x14ac:dyDescent="0.2">
      <c r="A20" s="6" t="s">
        <v>32</v>
      </c>
      <c r="B20" s="6" t="s">
        <v>3</v>
      </c>
      <c r="C20" s="6" t="s">
        <v>56</v>
      </c>
    </row>
    <row r="21" spans="1:3" x14ac:dyDescent="0.2">
      <c r="A21" s="6" t="s">
        <v>33</v>
      </c>
      <c r="B21" s="6" t="s">
        <v>3</v>
      </c>
      <c r="C21" s="6" t="s">
        <v>57</v>
      </c>
    </row>
    <row r="22" spans="1:3" x14ac:dyDescent="0.2">
      <c r="A22" s="6" t="s">
        <v>34</v>
      </c>
      <c r="B22" s="6" t="s">
        <v>3</v>
      </c>
      <c r="C22" s="6" t="s">
        <v>59</v>
      </c>
    </row>
    <row r="23" spans="1:3" x14ac:dyDescent="0.2">
      <c r="A23" s="6" t="s">
        <v>35</v>
      </c>
      <c r="B23" s="6" t="s">
        <v>3</v>
      </c>
      <c r="C23" s="6" t="s">
        <v>61</v>
      </c>
    </row>
    <row r="24" spans="1:3" x14ac:dyDescent="0.2">
      <c r="A24" s="6" t="s">
        <v>36</v>
      </c>
      <c r="B24" s="6" t="s">
        <v>3</v>
      </c>
      <c r="C24" s="6" t="s">
        <v>63</v>
      </c>
    </row>
    <row r="25" spans="1:3" x14ac:dyDescent="0.2">
      <c r="A25" s="6" t="s">
        <v>37</v>
      </c>
      <c r="B25" s="6" t="s">
        <v>3</v>
      </c>
      <c r="C25" s="6" t="s">
        <v>98</v>
      </c>
    </row>
    <row r="26" spans="1:3" x14ac:dyDescent="0.2">
      <c r="A26" s="6" t="s">
        <v>38</v>
      </c>
      <c r="B26" s="6" t="s">
        <v>10</v>
      </c>
      <c r="C26" s="6" t="s">
        <v>66</v>
      </c>
    </row>
    <row r="27" spans="1:3" x14ac:dyDescent="0.2">
      <c r="A27" s="6" t="s">
        <v>39</v>
      </c>
      <c r="B27" s="6" t="s">
        <v>10</v>
      </c>
      <c r="C27" s="6" t="s">
        <v>67</v>
      </c>
    </row>
    <row r="28" spans="1:3" x14ac:dyDescent="0.2">
      <c r="A28" s="6" t="s">
        <v>40</v>
      </c>
      <c r="B28" s="6" t="s">
        <v>10</v>
      </c>
      <c r="C28" s="6" t="s">
        <v>69</v>
      </c>
    </row>
    <row r="29" spans="1:3" x14ac:dyDescent="0.2">
      <c r="A29" s="6" t="s">
        <v>41</v>
      </c>
      <c r="B29" s="6" t="s">
        <v>23</v>
      </c>
      <c r="C29" s="6" t="s">
        <v>71</v>
      </c>
    </row>
    <row r="30" spans="1:3" x14ac:dyDescent="0.2">
      <c r="A30" s="6" t="s">
        <v>42</v>
      </c>
      <c r="B30" s="6" t="s">
        <v>23</v>
      </c>
      <c r="C30" s="6" t="s">
        <v>73</v>
      </c>
    </row>
    <row r="31" spans="1:3" x14ac:dyDescent="0.2">
      <c r="A31" s="6" t="s">
        <v>43</v>
      </c>
      <c r="B31" s="6" t="s">
        <v>23</v>
      </c>
      <c r="C31" s="6" t="s">
        <v>75</v>
      </c>
    </row>
    <row r="32" spans="1:3" x14ac:dyDescent="0.2">
      <c r="A32" s="6" t="s">
        <v>44</v>
      </c>
      <c r="B32" s="6" t="s">
        <v>16</v>
      </c>
      <c r="C32" s="6" t="s">
        <v>77</v>
      </c>
    </row>
    <row r="33" spans="1:3" x14ac:dyDescent="0.2">
      <c r="A33" s="6" t="s">
        <v>45</v>
      </c>
      <c r="B33" s="6" t="s">
        <v>16</v>
      </c>
      <c r="C33" s="6" t="s">
        <v>79</v>
      </c>
    </row>
    <row r="34" spans="1:3" x14ac:dyDescent="0.2">
      <c r="A34" s="6" t="s">
        <v>46</v>
      </c>
      <c r="B34" s="6" t="s">
        <v>24</v>
      </c>
      <c r="C34" s="6" t="s">
        <v>100</v>
      </c>
    </row>
    <row r="35" spans="1:3" x14ac:dyDescent="0.2">
      <c r="A35" s="6" t="s">
        <v>47</v>
      </c>
      <c r="B35" s="6" t="s">
        <v>24</v>
      </c>
      <c r="C35" s="6" t="s">
        <v>102</v>
      </c>
    </row>
    <row r="36" spans="1:3" x14ac:dyDescent="0.2">
      <c r="A36" s="6" t="s">
        <v>48</v>
      </c>
      <c r="B36" s="6" t="s">
        <v>24</v>
      </c>
      <c r="C36" s="6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26F3-CCE0-C044-BA12-FA7DB392953A}">
  <dimension ref="A1:AD18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78" sqref="K178"/>
    </sheetView>
  </sheetViews>
  <sheetFormatPr baseColWidth="10" defaultRowHeight="16" x14ac:dyDescent="0.2"/>
  <cols>
    <col min="1" max="2" width="5.5" bestFit="1" customWidth="1"/>
    <col min="3" max="6" width="6.1640625" bestFit="1" customWidth="1"/>
    <col min="7" max="8" width="8.33203125" bestFit="1" customWidth="1"/>
    <col min="9" max="9" width="9.1640625" bestFit="1" customWidth="1"/>
    <col min="10" max="10" width="10.1640625" bestFit="1" customWidth="1"/>
    <col min="11" max="15" width="12.1640625" bestFit="1" customWidth="1"/>
    <col min="16" max="16" width="10.1640625" bestFit="1" customWidth="1"/>
    <col min="17" max="17" width="36" bestFit="1" customWidth="1"/>
    <col min="18" max="19" width="2.5" bestFit="1" customWidth="1"/>
    <col min="20" max="21" width="2.1640625" bestFit="1" customWidth="1"/>
    <col min="22" max="30" width="7.83203125" bestFit="1" customWidth="1"/>
  </cols>
  <sheetData>
    <row r="1" spans="1:30" x14ac:dyDescent="0.2">
      <c r="A1" t="s">
        <v>112</v>
      </c>
      <c r="C1">
        <v>0</v>
      </c>
      <c r="D1">
        <v>10</v>
      </c>
      <c r="E1">
        <v>20</v>
      </c>
      <c r="F1">
        <v>31</v>
      </c>
      <c r="G1">
        <v>50</v>
      </c>
      <c r="H1">
        <v>100</v>
      </c>
      <c r="I1">
        <v>250</v>
      </c>
      <c r="J1">
        <v>500</v>
      </c>
      <c r="K1">
        <v>1000</v>
      </c>
      <c r="L1">
        <v>2500</v>
      </c>
      <c r="M1">
        <v>5000</v>
      </c>
      <c r="N1">
        <v>10000</v>
      </c>
      <c r="O1">
        <v>16000</v>
      </c>
      <c r="P1" t="s">
        <v>110</v>
      </c>
      <c r="Q1" t="s">
        <v>109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</row>
    <row r="3" spans="1:30" x14ac:dyDescent="0.2">
      <c r="A3" t="s">
        <v>4</v>
      </c>
      <c r="B3" t="s">
        <v>121</v>
      </c>
      <c r="C3">
        <v>31.23</v>
      </c>
      <c r="D3">
        <v>14.21</v>
      </c>
      <c r="E3">
        <v>7.31</v>
      </c>
      <c r="F3">
        <v>3.64</v>
      </c>
      <c r="G3">
        <v>1.23</v>
      </c>
      <c r="H3">
        <v>0.14299999999999999</v>
      </c>
      <c r="I3">
        <v>4.2900000000000004E-3</v>
      </c>
      <c r="J3">
        <v>2.5099999999999998E-4</v>
      </c>
      <c r="K3">
        <v>1.4100000000000001E-5</v>
      </c>
      <c r="L3">
        <v>3.0400000000000002E-7</v>
      </c>
      <c r="M3">
        <v>1.6700000000000001E-8</v>
      </c>
      <c r="N3">
        <v>9.1500000000000005E-10</v>
      </c>
      <c r="O3">
        <v>1.28E-10</v>
      </c>
      <c r="P3" t="s">
        <v>3</v>
      </c>
      <c r="Q3" t="str">
        <f>VLOOKUP(A3,types,3)</f>
        <v>leemarm, zeer fijn tot matig fijn zand</v>
      </c>
      <c r="R3">
        <f>0*C3</f>
        <v>0</v>
      </c>
      <c r="S3">
        <f t="shared" ref="S3:S6" si="0">0*D3</f>
        <v>0</v>
      </c>
      <c r="T3">
        <f t="shared" ref="T3:T6" si="1">0*E3</f>
        <v>0</v>
      </c>
      <c r="U3">
        <f t="shared" ref="U3:U6" si="2">0*F3</f>
        <v>0</v>
      </c>
      <c r="V3">
        <f t="shared" ref="V3:V6" si="3">0*G3</f>
        <v>0</v>
      </c>
      <c r="W3">
        <f t="shared" ref="W3:W6" si="4">0*H3</f>
        <v>0</v>
      </c>
      <c r="X3">
        <f t="shared" ref="X3:X6" si="5">0*I3</f>
        <v>0</v>
      </c>
      <c r="Y3">
        <f t="shared" ref="Y3:Y6" si="6">0*J3</f>
        <v>0</v>
      </c>
      <c r="Z3">
        <f t="shared" ref="Z3:Z6" si="7">0*K3</f>
        <v>0</v>
      </c>
      <c r="AA3">
        <f t="shared" ref="AA3:AA6" si="8">0*L3</f>
        <v>0</v>
      </c>
      <c r="AB3">
        <f t="shared" ref="AB3:AB6" si="9">0*M3</f>
        <v>0</v>
      </c>
      <c r="AC3">
        <f t="shared" ref="AC3:AC6" si="10">0*N3</f>
        <v>0</v>
      </c>
      <c r="AD3">
        <f t="shared" ref="AD3:AD6" si="11">0*O3</f>
        <v>0</v>
      </c>
    </row>
    <row r="4" spans="1:30" x14ac:dyDescent="0.2">
      <c r="A4" t="s">
        <v>4</v>
      </c>
      <c r="B4" t="s">
        <v>127</v>
      </c>
      <c r="C4">
        <v>0.42699999999999999</v>
      </c>
      <c r="D4">
        <v>0.41599999999999998</v>
      </c>
      <c r="E4">
        <v>0.39300000000000002</v>
      </c>
      <c r="F4">
        <v>0.36299999999999999</v>
      </c>
      <c r="G4">
        <v>0.315</v>
      </c>
      <c r="H4">
        <v>0.22900000000000001</v>
      </c>
      <c r="I4">
        <v>0.13500000000000001</v>
      </c>
      <c r="J4">
        <v>0.09</v>
      </c>
      <c r="K4">
        <v>6.2E-2</v>
      </c>
      <c r="L4">
        <v>4.2000000000000003E-2</v>
      </c>
      <c r="M4">
        <v>3.3000000000000002E-2</v>
      </c>
      <c r="N4">
        <v>2.8000000000000001E-2</v>
      </c>
      <c r="O4">
        <v>2.555E-2</v>
      </c>
      <c r="P4" t="s">
        <v>3</v>
      </c>
      <c r="Q4" t="str">
        <f>VLOOKUP(A4,types,3)</f>
        <v>leemarm, zeer fijn tot matig fijn zand</v>
      </c>
      <c r="R4">
        <f t="shared" ref="R4:R6" si="12">0*C4</f>
        <v>0</v>
      </c>
      <c r="S4">
        <f t="shared" si="0"/>
        <v>0</v>
      </c>
      <c r="T4">
        <f t="shared" si="1"/>
        <v>0</v>
      </c>
      <c r="U4">
        <f t="shared" si="2"/>
        <v>0</v>
      </c>
      <c r="V4">
        <f t="shared" si="3"/>
        <v>0</v>
      </c>
      <c r="W4">
        <f t="shared" si="4"/>
        <v>0</v>
      </c>
      <c r="X4">
        <f t="shared" si="5"/>
        <v>0</v>
      </c>
      <c r="Y4">
        <f t="shared" si="6"/>
        <v>0</v>
      </c>
      <c r="Z4">
        <f t="shared" si="7"/>
        <v>0</v>
      </c>
      <c r="AA4">
        <f t="shared" si="8"/>
        <v>0</v>
      </c>
      <c r="AB4">
        <f t="shared" si="9"/>
        <v>0</v>
      </c>
      <c r="AC4">
        <f t="shared" si="10"/>
        <v>0</v>
      </c>
      <c r="AD4">
        <f t="shared" si="11"/>
        <v>0</v>
      </c>
    </row>
    <row r="5" spans="1:30" x14ac:dyDescent="0.2">
      <c r="A5" t="s">
        <v>4</v>
      </c>
      <c r="B5" t="s">
        <v>126</v>
      </c>
      <c r="C5">
        <v>0</v>
      </c>
      <c r="D5">
        <v>9.9</v>
      </c>
      <c r="E5">
        <v>19.899999999999999</v>
      </c>
      <c r="F5">
        <v>30.6</v>
      </c>
      <c r="G5">
        <v>48.7</v>
      </c>
      <c r="H5">
        <v>87.7</v>
      </c>
      <c r="I5">
        <v>118.6</v>
      </c>
      <c r="J5">
        <v>121.6</v>
      </c>
      <c r="K5">
        <v>122</v>
      </c>
      <c r="L5">
        <v>122</v>
      </c>
      <c r="M5">
        <v>122</v>
      </c>
      <c r="N5">
        <v>122</v>
      </c>
      <c r="O5">
        <v>12.2</v>
      </c>
      <c r="P5" t="s">
        <v>3</v>
      </c>
      <c r="Q5" t="str">
        <f>VLOOKUP(A5,types,3)</f>
        <v>leemarm, zeer fijn tot matig fijn zand</v>
      </c>
      <c r="R5">
        <f t="shared" si="12"/>
        <v>0</v>
      </c>
      <c r="S5">
        <f t="shared" si="0"/>
        <v>0</v>
      </c>
      <c r="T5">
        <f t="shared" si="1"/>
        <v>0</v>
      </c>
      <c r="U5">
        <f t="shared" si="2"/>
        <v>0</v>
      </c>
      <c r="V5">
        <f t="shared" si="3"/>
        <v>0</v>
      </c>
      <c r="W5">
        <f t="shared" si="4"/>
        <v>0</v>
      </c>
      <c r="X5">
        <f t="shared" si="5"/>
        <v>0</v>
      </c>
      <c r="Y5">
        <f t="shared" si="6"/>
        <v>0</v>
      </c>
      <c r="Z5">
        <f t="shared" si="7"/>
        <v>0</v>
      </c>
      <c r="AA5">
        <f t="shared" si="8"/>
        <v>0</v>
      </c>
      <c r="AB5">
        <f t="shared" si="9"/>
        <v>0</v>
      </c>
      <c r="AC5">
        <f t="shared" si="10"/>
        <v>0</v>
      </c>
      <c r="AD5">
        <f t="shared" si="11"/>
        <v>0</v>
      </c>
    </row>
    <row r="6" spans="1:30" x14ac:dyDescent="0.2">
      <c r="A6" t="s">
        <v>4</v>
      </c>
      <c r="B6" t="s">
        <v>111</v>
      </c>
      <c r="C6">
        <v>0</v>
      </c>
      <c r="D6">
        <v>9.9</v>
      </c>
      <c r="E6">
        <v>19.7</v>
      </c>
      <c r="F6">
        <v>30.3</v>
      </c>
      <c r="G6">
        <v>47.6</v>
      </c>
      <c r="H6">
        <v>80</v>
      </c>
      <c r="I6">
        <v>98.6</v>
      </c>
      <c r="J6">
        <v>100.1</v>
      </c>
      <c r="K6">
        <v>100.3</v>
      </c>
      <c r="L6">
        <v>100.3</v>
      </c>
      <c r="M6">
        <v>100.3</v>
      </c>
      <c r="N6">
        <v>100.3</v>
      </c>
      <c r="O6">
        <v>100.3</v>
      </c>
      <c r="P6" t="s">
        <v>3</v>
      </c>
      <c r="Q6" t="str">
        <f>VLOOKUP(A6,types,3)</f>
        <v>leemarm, zeer fijn tot matig fijn zand</v>
      </c>
      <c r="R6">
        <f t="shared" si="12"/>
        <v>0</v>
      </c>
      <c r="S6">
        <f t="shared" si="0"/>
        <v>0</v>
      </c>
      <c r="T6">
        <f t="shared" si="1"/>
        <v>0</v>
      </c>
      <c r="U6">
        <f t="shared" si="2"/>
        <v>0</v>
      </c>
      <c r="V6">
        <f t="shared" si="3"/>
        <v>0</v>
      </c>
      <c r="W6">
        <f t="shared" si="4"/>
        <v>0</v>
      </c>
      <c r="X6">
        <f t="shared" si="5"/>
        <v>0</v>
      </c>
      <c r="Y6">
        <f t="shared" si="6"/>
        <v>0</v>
      </c>
      <c r="Z6">
        <f t="shared" si="7"/>
        <v>0</v>
      </c>
      <c r="AA6">
        <f t="shared" si="8"/>
        <v>0</v>
      </c>
      <c r="AB6">
        <f t="shared" si="9"/>
        <v>0</v>
      </c>
      <c r="AC6">
        <f t="shared" si="10"/>
        <v>0</v>
      </c>
      <c r="AD6">
        <f t="shared" si="11"/>
        <v>0</v>
      </c>
    </row>
    <row r="8" spans="1:30" x14ac:dyDescent="0.2">
      <c r="A8" t="s">
        <v>5</v>
      </c>
      <c r="B8" t="s">
        <v>121</v>
      </c>
      <c r="C8">
        <v>83.24</v>
      </c>
      <c r="D8">
        <v>12.4</v>
      </c>
      <c r="E8">
        <v>4.6100000000000003</v>
      </c>
      <c r="F8">
        <v>1.83</v>
      </c>
      <c r="G8">
        <v>0.48299999999999998</v>
      </c>
      <c r="H8">
        <v>3.85E-2</v>
      </c>
      <c r="I8">
        <v>6.2100000000000002E-4</v>
      </c>
      <c r="J8">
        <v>2.0100000000000001E-5</v>
      </c>
      <c r="K8">
        <v>5.8599999999999998E-7</v>
      </c>
      <c r="L8">
        <v>5.1300000000000003E-9</v>
      </c>
      <c r="M8">
        <v>1.4000000000000001E-10</v>
      </c>
      <c r="N8">
        <v>3.7899999999999998E-12</v>
      </c>
      <c r="O8">
        <v>3.2800000000000002E-13</v>
      </c>
      <c r="P8" t="s">
        <v>3</v>
      </c>
      <c r="Q8" t="str">
        <f>VLOOKUP(A8,types,3)</f>
        <v>zwak lemig, zeer fijn tot matig fijn zand</v>
      </c>
      <c r="R8">
        <f>0*C8</f>
        <v>0</v>
      </c>
      <c r="S8">
        <f t="shared" ref="S8:S11" si="13">0*D8</f>
        <v>0</v>
      </c>
      <c r="T8">
        <f t="shared" ref="T8:T11" si="14">0*E8</f>
        <v>0</v>
      </c>
      <c r="U8">
        <f t="shared" ref="U8:U11" si="15">0*F8</f>
        <v>0</v>
      </c>
      <c r="V8">
        <f t="shared" ref="V8:V11" si="16">0*G8</f>
        <v>0</v>
      </c>
      <c r="W8">
        <f t="shared" ref="W8:W11" si="17">0*H8</f>
        <v>0</v>
      </c>
      <c r="X8">
        <f t="shared" ref="X8:X11" si="18">0*I8</f>
        <v>0</v>
      </c>
      <c r="Y8">
        <f t="shared" ref="Y8:Y11" si="19">0*J8</f>
        <v>0</v>
      </c>
      <c r="Z8">
        <f t="shared" ref="Z8:Z11" si="20">0*K8</f>
        <v>0</v>
      </c>
      <c r="AA8">
        <f t="shared" ref="AA8:AA11" si="21">0*L8</f>
        <v>0</v>
      </c>
      <c r="AB8">
        <f t="shared" ref="AB8:AB11" si="22">0*M8</f>
        <v>0</v>
      </c>
      <c r="AC8">
        <f t="shared" ref="AC8:AC11" si="23">0*N8</f>
        <v>0</v>
      </c>
      <c r="AD8">
        <f t="shared" ref="AD8:AD11" si="24">0*O8</f>
        <v>0</v>
      </c>
    </row>
    <row r="9" spans="1:30" x14ac:dyDescent="0.2">
      <c r="A9" t="s">
        <v>5</v>
      </c>
      <c r="B9" t="s">
        <v>127</v>
      </c>
      <c r="C9">
        <v>0.434</v>
      </c>
      <c r="D9">
        <v>0.42099999999999999</v>
      </c>
      <c r="E9">
        <v>0.40500000000000003</v>
      </c>
      <c r="F9">
        <v>0.38700000000000001</v>
      </c>
      <c r="G9">
        <v>0.36099999999999999</v>
      </c>
      <c r="H9">
        <v>0.312</v>
      </c>
      <c r="I9">
        <v>0.24399999999999999</v>
      </c>
      <c r="J9">
        <v>0.19900000000000001</v>
      </c>
      <c r="K9">
        <v>0.161</v>
      </c>
      <c r="L9">
        <v>0.123</v>
      </c>
      <c r="M9">
        <v>0.10100000000000001</v>
      </c>
      <c r="N9">
        <v>8.3000000000000004E-2</v>
      </c>
      <c r="O9">
        <v>7.3840000000000003E-2</v>
      </c>
      <c r="P9" t="s">
        <v>3</v>
      </c>
      <c r="Q9" t="str">
        <f>VLOOKUP(A9,types,3)</f>
        <v>zwak lemig, zeer fijn tot matig fijn zand</v>
      </c>
      <c r="R9">
        <f t="shared" ref="R9:R11" si="25">0*C9</f>
        <v>0</v>
      </c>
      <c r="S9">
        <f t="shared" si="13"/>
        <v>0</v>
      </c>
      <c r="T9">
        <f t="shared" si="14"/>
        <v>0</v>
      </c>
      <c r="U9">
        <f t="shared" si="15"/>
        <v>0</v>
      </c>
      <c r="V9">
        <f t="shared" si="16"/>
        <v>0</v>
      </c>
      <c r="W9">
        <f t="shared" si="17"/>
        <v>0</v>
      </c>
      <c r="X9">
        <f t="shared" si="18"/>
        <v>0</v>
      </c>
      <c r="Y9">
        <f t="shared" si="19"/>
        <v>0</v>
      </c>
      <c r="Z9">
        <f t="shared" si="20"/>
        <v>0</v>
      </c>
      <c r="AA9">
        <f t="shared" si="21"/>
        <v>0</v>
      </c>
      <c r="AB9">
        <f t="shared" si="22"/>
        <v>0</v>
      </c>
      <c r="AC9">
        <f t="shared" si="23"/>
        <v>0</v>
      </c>
      <c r="AD9">
        <f t="shared" si="24"/>
        <v>0</v>
      </c>
    </row>
    <row r="10" spans="1:30" x14ac:dyDescent="0.2">
      <c r="A10" t="s">
        <v>5</v>
      </c>
      <c r="B10" t="s">
        <v>126</v>
      </c>
      <c r="C10">
        <v>0</v>
      </c>
      <c r="D10">
        <v>10</v>
      </c>
      <c r="E10">
        <v>19.8</v>
      </c>
      <c r="F10">
        <v>30.4</v>
      </c>
      <c r="G10">
        <v>47.5</v>
      </c>
      <c r="H10">
        <v>74.8</v>
      </c>
      <c r="I10">
        <v>84.3</v>
      </c>
      <c r="J10">
        <v>84.7</v>
      </c>
      <c r="K10">
        <v>84.7</v>
      </c>
      <c r="L10">
        <v>84.7</v>
      </c>
      <c r="M10">
        <v>84.7</v>
      </c>
      <c r="N10">
        <v>84.7</v>
      </c>
      <c r="O10">
        <v>84.7</v>
      </c>
      <c r="P10" t="s">
        <v>3</v>
      </c>
      <c r="Q10" t="str">
        <f>VLOOKUP(A10,types,3)</f>
        <v>zwak lemig, zeer fijn tot matig fijn zand</v>
      </c>
      <c r="R10">
        <f t="shared" si="25"/>
        <v>0</v>
      </c>
      <c r="S10">
        <f t="shared" si="13"/>
        <v>0</v>
      </c>
      <c r="T10">
        <f t="shared" si="14"/>
        <v>0</v>
      </c>
      <c r="U10">
        <f t="shared" si="15"/>
        <v>0</v>
      </c>
      <c r="V10">
        <f t="shared" si="16"/>
        <v>0</v>
      </c>
      <c r="W10">
        <f t="shared" si="17"/>
        <v>0</v>
      </c>
      <c r="X10">
        <f t="shared" si="18"/>
        <v>0</v>
      </c>
      <c r="Y10">
        <f t="shared" si="19"/>
        <v>0</v>
      </c>
      <c r="Z10">
        <f t="shared" si="20"/>
        <v>0</v>
      </c>
      <c r="AA10">
        <f t="shared" si="21"/>
        <v>0</v>
      </c>
      <c r="AB10">
        <f t="shared" si="22"/>
        <v>0</v>
      </c>
      <c r="AC10">
        <f t="shared" si="23"/>
        <v>0</v>
      </c>
      <c r="AD10">
        <f t="shared" si="24"/>
        <v>0</v>
      </c>
    </row>
    <row r="11" spans="1:30" x14ac:dyDescent="0.2">
      <c r="A11" t="s">
        <v>5</v>
      </c>
      <c r="B11" t="s">
        <v>111</v>
      </c>
      <c r="C11">
        <v>0</v>
      </c>
      <c r="D11">
        <v>9.9</v>
      </c>
      <c r="E11">
        <v>19.600000000000001</v>
      </c>
      <c r="F11">
        <v>29.9</v>
      </c>
      <c r="G11">
        <v>45.4</v>
      </c>
      <c r="H11">
        <v>65.099999999999994</v>
      </c>
      <c r="I11">
        <v>70.2</v>
      </c>
      <c r="J11">
        <v>70.400000000000006</v>
      </c>
      <c r="K11">
        <v>70.400000000000006</v>
      </c>
      <c r="L11">
        <v>70.400000000000006</v>
      </c>
      <c r="M11">
        <v>70.400000000000006</v>
      </c>
      <c r="N11">
        <v>70.400000000000006</v>
      </c>
      <c r="O11">
        <v>70.400000000000006</v>
      </c>
      <c r="P11" t="s">
        <v>3</v>
      </c>
      <c r="Q11" t="str">
        <f>VLOOKUP(A11,types,3)</f>
        <v>zwak lemig, zeer fijn tot matig fijn zand</v>
      </c>
      <c r="R11">
        <f t="shared" si="25"/>
        <v>0</v>
      </c>
      <c r="S11">
        <f t="shared" si="13"/>
        <v>0</v>
      </c>
      <c r="T11">
        <f t="shared" si="14"/>
        <v>0</v>
      </c>
      <c r="U11">
        <f t="shared" si="15"/>
        <v>0</v>
      </c>
      <c r="V11">
        <f t="shared" si="16"/>
        <v>0</v>
      </c>
      <c r="W11">
        <f t="shared" si="17"/>
        <v>0</v>
      </c>
      <c r="X11">
        <f t="shared" si="18"/>
        <v>0</v>
      </c>
      <c r="Y11">
        <f t="shared" si="19"/>
        <v>0</v>
      </c>
      <c r="Z11">
        <f t="shared" si="20"/>
        <v>0</v>
      </c>
      <c r="AA11">
        <f t="shared" si="21"/>
        <v>0</v>
      </c>
      <c r="AB11">
        <f t="shared" si="22"/>
        <v>0</v>
      </c>
      <c r="AC11">
        <f t="shared" si="23"/>
        <v>0</v>
      </c>
      <c r="AD11">
        <f t="shared" si="24"/>
        <v>0</v>
      </c>
    </row>
    <row r="13" spans="1:30" x14ac:dyDescent="0.2">
      <c r="A13" t="s">
        <v>6</v>
      </c>
      <c r="B13" t="s">
        <v>121</v>
      </c>
      <c r="C13">
        <v>19.079999999999998</v>
      </c>
      <c r="D13">
        <v>7.4</v>
      </c>
      <c r="E13">
        <v>4.41</v>
      </c>
      <c r="F13">
        <v>2.73</v>
      </c>
      <c r="G13">
        <v>1.35</v>
      </c>
      <c r="H13">
        <v>0.33400000000000002</v>
      </c>
      <c r="I13">
        <v>3.0700000000000002E-2</v>
      </c>
      <c r="J13">
        <v>4.0600000000000002E-3</v>
      </c>
      <c r="K13">
        <v>5.0100000000000003E-4</v>
      </c>
      <c r="L13">
        <v>3.0300000000000001E-5</v>
      </c>
      <c r="M13">
        <v>3.5999999999999998E-6</v>
      </c>
      <c r="N13">
        <v>4.2599999999999998E-7</v>
      </c>
      <c r="O13">
        <v>9.9999999999999995E-8</v>
      </c>
      <c r="P13" t="s">
        <v>3</v>
      </c>
      <c r="Q13" t="str">
        <f>VLOOKUP(A13,types,3)</f>
        <v>sterk lemig, zeer fijn tot matig fijn zand</v>
      </c>
      <c r="R13">
        <f>0*C13</f>
        <v>0</v>
      </c>
      <c r="S13">
        <f t="shared" ref="S13:S16" si="26">0*D13</f>
        <v>0</v>
      </c>
      <c r="T13">
        <f t="shared" ref="T13:T16" si="27">0*E13</f>
        <v>0</v>
      </c>
      <c r="U13">
        <f t="shared" ref="U13:U16" si="28">0*F13</f>
        <v>0</v>
      </c>
      <c r="V13">
        <f t="shared" ref="V13:V16" si="29">0*G13</f>
        <v>0</v>
      </c>
      <c r="W13">
        <f t="shared" ref="W13:W16" si="30">0*H13</f>
        <v>0</v>
      </c>
      <c r="X13">
        <f t="shared" ref="X13:X16" si="31">0*I13</f>
        <v>0</v>
      </c>
      <c r="Y13">
        <f t="shared" ref="Y13:Y16" si="32">0*J13</f>
        <v>0</v>
      </c>
      <c r="Z13">
        <f t="shared" ref="Z13:Z16" si="33">0*K13</f>
        <v>0</v>
      </c>
      <c r="AA13">
        <f t="shared" ref="AA13:AA16" si="34">0*L13</f>
        <v>0</v>
      </c>
      <c r="AB13">
        <f t="shared" ref="AB13:AB16" si="35">0*M13</f>
        <v>0</v>
      </c>
      <c r="AC13">
        <f t="shared" ref="AC13:AC16" si="36">0*N13</f>
        <v>0</v>
      </c>
      <c r="AD13">
        <f t="shared" ref="AD13:AD16" si="37">0*O13</f>
        <v>0</v>
      </c>
    </row>
    <row r="14" spans="1:30" x14ac:dyDescent="0.2">
      <c r="A14" t="s">
        <v>6</v>
      </c>
      <c r="B14" t="s">
        <v>127</v>
      </c>
      <c r="C14">
        <v>0.443</v>
      </c>
      <c r="D14">
        <v>0.435</v>
      </c>
      <c r="E14">
        <v>0.42199999999999999</v>
      </c>
      <c r="F14">
        <v>0.40600000000000003</v>
      </c>
      <c r="G14">
        <v>0.378</v>
      </c>
      <c r="H14">
        <v>0.318</v>
      </c>
      <c r="I14">
        <v>0.22800000000000001</v>
      </c>
      <c r="J14">
        <v>0.17100000000000001</v>
      </c>
      <c r="K14">
        <v>0.127</v>
      </c>
      <c r="L14">
        <v>8.7999999999999995E-2</v>
      </c>
      <c r="M14">
        <v>6.8000000000000005E-2</v>
      </c>
      <c r="N14">
        <v>5.3999999999999999E-2</v>
      </c>
      <c r="O14">
        <v>4.6580000000000003E-2</v>
      </c>
      <c r="P14" t="s">
        <v>3</v>
      </c>
      <c r="Q14" t="str">
        <f>VLOOKUP(A14,types,3)</f>
        <v>sterk lemig, zeer fijn tot matig fijn zand</v>
      </c>
      <c r="R14">
        <f t="shared" ref="R14:R16" si="38">0*C14</f>
        <v>0</v>
      </c>
      <c r="S14">
        <f t="shared" si="26"/>
        <v>0</v>
      </c>
      <c r="T14">
        <f t="shared" si="27"/>
        <v>0</v>
      </c>
      <c r="U14">
        <f t="shared" si="28"/>
        <v>0</v>
      </c>
      <c r="V14">
        <f t="shared" si="29"/>
        <v>0</v>
      </c>
      <c r="W14">
        <f t="shared" si="30"/>
        <v>0</v>
      </c>
      <c r="X14">
        <f t="shared" si="31"/>
        <v>0</v>
      </c>
      <c r="Y14">
        <f t="shared" si="32"/>
        <v>0</v>
      </c>
      <c r="Z14">
        <f t="shared" si="33"/>
        <v>0</v>
      </c>
      <c r="AA14">
        <f t="shared" si="34"/>
        <v>0</v>
      </c>
      <c r="AB14">
        <f t="shared" si="35"/>
        <v>0</v>
      </c>
      <c r="AC14">
        <f t="shared" si="36"/>
        <v>0</v>
      </c>
      <c r="AD14">
        <f t="shared" si="37"/>
        <v>0</v>
      </c>
    </row>
    <row r="15" spans="1:30" x14ac:dyDescent="0.2">
      <c r="A15" t="s">
        <v>6</v>
      </c>
      <c r="B15" t="s">
        <v>126</v>
      </c>
      <c r="C15">
        <v>0</v>
      </c>
      <c r="D15">
        <v>9.9</v>
      </c>
      <c r="E15">
        <v>19.7</v>
      </c>
      <c r="F15">
        <v>30.4</v>
      </c>
      <c r="G15">
        <v>48.4</v>
      </c>
      <c r="H15">
        <v>91.4</v>
      </c>
      <c r="I15">
        <v>161.80000000000001</v>
      </c>
      <c r="J15">
        <v>187.5</v>
      </c>
      <c r="K15">
        <v>194.9</v>
      </c>
      <c r="L15">
        <v>197</v>
      </c>
      <c r="M15">
        <v>197.3</v>
      </c>
      <c r="N15">
        <v>197.4</v>
      </c>
      <c r="O15">
        <v>197.4</v>
      </c>
      <c r="P15" t="s">
        <v>3</v>
      </c>
      <c r="Q15" t="str">
        <f>VLOOKUP(A15,types,3)</f>
        <v>sterk lemig, zeer fijn tot matig fijn zand</v>
      </c>
      <c r="R15">
        <f t="shared" si="38"/>
        <v>0</v>
      </c>
      <c r="S15">
        <f t="shared" si="26"/>
        <v>0</v>
      </c>
      <c r="T15">
        <f t="shared" si="27"/>
        <v>0</v>
      </c>
      <c r="U15">
        <f t="shared" si="28"/>
        <v>0</v>
      </c>
      <c r="V15">
        <f t="shared" si="29"/>
        <v>0</v>
      </c>
      <c r="W15">
        <f t="shared" si="30"/>
        <v>0</v>
      </c>
      <c r="X15">
        <f t="shared" si="31"/>
        <v>0</v>
      </c>
      <c r="Y15">
        <f t="shared" si="32"/>
        <v>0</v>
      </c>
      <c r="Z15">
        <f t="shared" si="33"/>
        <v>0</v>
      </c>
      <c r="AA15">
        <f t="shared" si="34"/>
        <v>0</v>
      </c>
      <c r="AB15">
        <f t="shared" si="35"/>
        <v>0</v>
      </c>
      <c r="AC15">
        <f t="shared" si="36"/>
        <v>0</v>
      </c>
      <c r="AD15">
        <f t="shared" si="37"/>
        <v>0</v>
      </c>
    </row>
    <row r="16" spans="1:30" x14ac:dyDescent="0.2">
      <c r="A16" t="s">
        <v>6</v>
      </c>
      <c r="B16" t="s">
        <v>111</v>
      </c>
      <c r="C16">
        <v>0</v>
      </c>
      <c r="D16">
        <v>9.8000000000000007</v>
      </c>
      <c r="E16">
        <v>19.5</v>
      </c>
      <c r="F16">
        <v>29.9</v>
      </c>
      <c r="G16">
        <v>47</v>
      </c>
      <c r="H16">
        <v>84.8</v>
      </c>
      <c r="I16">
        <v>133</v>
      </c>
      <c r="J16">
        <v>146.80000000000001</v>
      </c>
      <c r="K16">
        <v>150.5</v>
      </c>
      <c r="L16">
        <v>151.6</v>
      </c>
      <c r="M16">
        <v>151.69999999999999</v>
      </c>
      <c r="N16">
        <v>151.69999999999999</v>
      </c>
      <c r="O16">
        <v>151.69999999999999</v>
      </c>
      <c r="P16" t="s">
        <v>3</v>
      </c>
      <c r="Q16" t="str">
        <f>VLOOKUP(A16,types,3)</f>
        <v>sterk lemig, zeer fijn tot matig fijn zand</v>
      </c>
      <c r="R16">
        <f t="shared" si="38"/>
        <v>0</v>
      </c>
      <c r="S16">
        <f t="shared" si="26"/>
        <v>0</v>
      </c>
      <c r="T16">
        <f t="shared" si="27"/>
        <v>0</v>
      </c>
      <c r="U16">
        <f t="shared" si="28"/>
        <v>0</v>
      </c>
      <c r="V16">
        <f t="shared" si="29"/>
        <v>0</v>
      </c>
      <c r="W16">
        <f t="shared" si="30"/>
        <v>0</v>
      </c>
      <c r="X16">
        <f t="shared" si="31"/>
        <v>0</v>
      </c>
      <c r="Y16">
        <f t="shared" si="32"/>
        <v>0</v>
      </c>
      <c r="Z16">
        <f t="shared" si="33"/>
        <v>0</v>
      </c>
      <c r="AA16">
        <f t="shared" si="34"/>
        <v>0</v>
      </c>
      <c r="AB16">
        <f t="shared" si="35"/>
        <v>0</v>
      </c>
      <c r="AC16">
        <f t="shared" si="36"/>
        <v>0</v>
      </c>
      <c r="AD16">
        <f t="shared" si="37"/>
        <v>0</v>
      </c>
    </row>
    <row r="18" spans="1:30" x14ac:dyDescent="0.2">
      <c r="A18" t="s">
        <v>7</v>
      </c>
      <c r="B18" t="s">
        <v>121</v>
      </c>
      <c r="C18">
        <v>34.880000000000003</v>
      </c>
      <c r="D18">
        <v>10.09</v>
      </c>
      <c r="E18">
        <v>5.8</v>
      </c>
      <c r="F18">
        <v>3.55</v>
      </c>
      <c r="G18">
        <v>1.77</v>
      </c>
      <c r="H18">
        <v>0.46899999999999997</v>
      </c>
      <c r="I18">
        <v>5.0200000000000002E-2</v>
      </c>
      <c r="J18" s="5">
        <v>7.5500000000000003E-3</v>
      </c>
      <c r="K18">
        <v>1.0499999999999999E-3</v>
      </c>
      <c r="L18">
        <v>7.4900000000000005E-5</v>
      </c>
      <c r="M18">
        <v>1.0000000000000001E-5</v>
      </c>
      <c r="N18">
        <v>1.3400000000000001E-6</v>
      </c>
      <c r="O18">
        <v>3.3999999999999997E-7</v>
      </c>
      <c r="P18" t="s">
        <v>3</v>
      </c>
      <c r="Q18" t="str">
        <f>VLOOKUP(A18,types,3)</f>
        <v>zeer sterk lemig, zeer fijn tot matig fijn zand</v>
      </c>
      <c r="R18">
        <f>0*C18</f>
        <v>0</v>
      </c>
      <c r="S18">
        <f t="shared" ref="S18:S21" si="39">0*D18</f>
        <v>0</v>
      </c>
      <c r="T18">
        <f t="shared" ref="T18:T21" si="40">0*E18</f>
        <v>0</v>
      </c>
      <c r="U18">
        <f t="shared" ref="U18:U21" si="41">0*F18</f>
        <v>0</v>
      </c>
      <c r="V18">
        <f t="shared" ref="V18:V21" si="42">0*G18</f>
        <v>0</v>
      </c>
      <c r="W18">
        <f t="shared" ref="W18:W21" si="43">0*H18</f>
        <v>0</v>
      </c>
      <c r="X18">
        <f t="shared" ref="X18:X21" si="44">0*I18</f>
        <v>0</v>
      </c>
      <c r="Y18">
        <f t="shared" ref="Y18:Y21" si="45">0*J18</f>
        <v>0</v>
      </c>
      <c r="Z18">
        <f t="shared" ref="Z18:Z21" si="46">0*K18</f>
        <v>0</v>
      </c>
      <c r="AA18">
        <f t="shared" ref="AA18:AA21" si="47">0*L18</f>
        <v>0</v>
      </c>
      <c r="AB18">
        <f t="shared" ref="AB18:AB21" si="48">0*M18</f>
        <v>0</v>
      </c>
      <c r="AC18">
        <f t="shared" ref="AC18:AC21" si="49">0*N18</f>
        <v>0</v>
      </c>
      <c r="AD18">
        <f t="shared" ref="AD18:AD21" si="50">0*O18</f>
        <v>0</v>
      </c>
    </row>
    <row r="19" spans="1:30" x14ac:dyDescent="0.2">
      <c r="A19" t="s">
        <v>7</v>
      </c>
      <c r="B19" t="s">
        <v>127</v>
      </c>
      <c r="C19">
        <v>0.46200000000000002</v>
      </c>
      <c r="D19">
        <v>0.45400000000000001</v>
      </c>
      <c r="E19">
        <v>0.441</v>
      </c>
      <c r="F19">
        <v>0.42699999999999999</v>
      </c>
      <c r="G19">
        <v>0.40300000000000002</v>
      </c>
      <c r="H19">
        <v>0.35199999999999998</v>
      </c>
      <c r="I19">
        <v>0.27200000000000002</v>
      </c>
      <c r="J19">
        <v>0.216</v>
      </c>
      <c r="K19">
        <v>0.17</v>
      </c>
      <c r="L19">
        <v>0.125</v>
      </c>
      <c r="M19">
        <v>0.1</v>
      </c>
      <c r="N19">
        <v>8.1000000000000003E-2</v>
      </c>
      <c r="O19">
        <v>7.0360000000000006E-2</v>
      </c>
      <c r="P19" t="s">
        <v>3</v>
      </c>
      <c r="Q19" t="str">
        <f>VLOOKUP(A19,types,3)</f>
        <v>zeer sterk lemig, zeer fijn tot matig fijn zand</v>
      </c>
      <c r="R19">
        <f t="shared" ref="R19:R21" si="51">0*C19</f>
        <v>0</v>
      </c>
      <c r="S19">
        <f t="shared" si="39"/>
        <v>0</v>
      </c>
      <c r="T19">
        <f t="shared" si="40"/>
        <v>0</v>
      </c>
      <c r="U19">
        <f t="shared" si="41"/>
        <v>0</v>
      </c>
      <c r="V19">
        <f t="shared" si="42"/>
        <v>0</v>
      </c>
      <c r="W19">
        <f t="shared" si="43"/>
        <v>0</v>
      </c>
      <c r="X19">
        <f t="shared" si="44"/>
        <v>0</v>
      </c>
      <c r="Y19">
        <f t="shared" si="45"/>
        <v>0</v>
      </c>
      <c r="Z19">
        <f t="shared" si="46"/>
        <v>0</v>
      </c>
      <c r="AA19">
        <f t="shared" si="47"/>
        <v>0</v>
      </c>
      <c r="AB19">
        <f t="shared" si="48"/>
        <v>0</v>
      </c>
      <c r="AC19">
        <f t="shared" si="49"/>
        <v>0</v>
      </c>
      <c r="AD19">
        <f t="shared" si="50"/>
        <v>0</v>
      </c>
    </row>
    <row r="20" spans="1:30" x14ac:dyDescent="0.2">
      <c r="A20" t="s">
        <v>7</v>
      </c>
      <c r="B20" t="s">
        <v>126</v>
      </c>
      <c r="C20">
        <v>0</v>
      </c>
      <c r="D20">
        <v>9.9</v>
      </c>
      <c r="E20">
        <v>19.8</v>
      </c>
      <c r="F20">
        <v>30.6</v>
      </c>
      <c r="G20">
        <v>48.8</v>
      </c>
      <c r="H20">
        <v>93.4</v>
      </c>
      <c r="I20">
        <v>178.2</v>
      </c>
      <c r="J20">
        <v>218.8</v>
      </c>
      <c r="K20">
        <v>233.1</v>
      </c>
      <c r="L20">
        <v>237.7</v>
      </c>
      <c r="M20">
        <v>238.4</v>
      </c>
      <c r="N20">
        <v>238.6</v>
      </c>
      <c r="O20">
        <v>238.7</v>
      </c>
      <c r="P20" t="s">
        <v>3</v>
      </c>
      <c r="Q20" t="str">
        <f>VLOOKUP(A20,types,3)</f>
        <v>zeer sterk lemig, zeer fijn tot matig fijn zand</v>
      </c>
      <c r="R20">
        <f t="shared" si="51"/>
        <v>0</v>
      </c>
      <c r="S20">
        <f t="shared" si="39"/>
        <v>0</v>
      </c>
      <c r="T20">
        <f t="shared" si="40"/>
        <v>0</v>
      </c>
      <c r="U20">
        <f t="shared" si="41"/>
        <v>0</v>
      </c>
      <c r="V20">
        <f t="shared" si="42"/>
        <v>0</v>
      </c>
      <c r="W20">
        <f t="shared" si="43"/>
        <v>0</v>
      </c>
      <c r="X20">
        <f t="shared" si="44"/>
        <v>0</v>
      </c>
      <c r="Y20">
        <f t="shared" si="45"/>
        <v>0</v>
      </c>
      <c r="Z20">
        <f t="shared" si="46"/>
        <v>0</v>
      </c>
      <c r="AA20">
        <f t="shared" si="47"/>
        <v>0</v>
      </c>
      <c r="AB20">
        <f t="shared" si="48"/>
        <v>0</v>
      </c>
      <c r="AC20">
        <f t="shared" si="49"/>
        <v>0</v>
      </c>
      <c r="AD20">
        <f t="shared" si="50"/>
        <v>0</v>
      </c>
    </row>
    <row r="21" spans="1:30" x14ac:dyDescent="0.2">
      <c r="A21" t="s">
        <v>7</v>
      </c>
      <c r="B21" t="s">
        <v>111</v>
      </c>
      <c r="C21">
        <v>0</v>
      </c>
      <c r="D21">
        <v>9.9</v>
      </c>
      <c r="E21">
        <v>19.600000000000001</v>
      </c>
      <c r="F21">
        <v>30.1</v>
      </c>
      <c r="G21">
        <v>47.7</v>
      </c>
      <c r="H21">
        <v>88</v>
      </c>
      <c r="I21">
        <v>149.4</v>
      </c>
      <c r="J21">
        <v>171.9</v>
      </c>
      <c r="K21">
        <v>179.2</v>
      </c>
      <c r="L21">
        <v>181.5</v>
      </c>
      <c r="M21">
        <v>181.9</v>
      </c>
      <c r="N21">
        <v>182</v>
      </c>
      <c r="O21">
        <v>182</v>
      </c>
      <c r="P21" t="s">
        <v>3</v>
      </c>
      <c r="Q21" t="str">
        <f>VLOOKUP(A21,types,3)</f>
        <v>zeer sterk lemig, zeer fijn tot matig fijn zand</v>
      </c>
      <c r="R21">
        <f t="shared" si="51"/>
        <v>0</v>
      </c>
      <c r="S21">
        <f t="shared" si="39"/>
        <v>0</v>
      </c>
      <c r="T21">
        <f t="shared" si="40"/>
        <v>0</v>
      </c>
      <c r="U21">
        <f t="shared" si="41"/>
        <v>0</v>
      </c>
      <c r="V21">
        <f t="shared" si="42"/>
        <v>0</v>
      </c>
      <c r="W21">
        <f t="shared" si="43"/>
        <v>0</v>
      </c>
      <c r="X21">
        <f t="shared" si="44"/>
        <v>0</v>
      </c>
      <c r="Y21">
        <f t="shared" si="45"/>
        <v>0</v>
      </c>
      <c r="Z21">
        <f t="shared" si="46"/>
        <v>0</v>
      </c>
      <c r="AA21">
        <f t="shared" si="47"/>
        <v>0</v>
      </c>
      <c r="AB21">
        <f t="shared" si="48"/>
        <v>0</v>
      </c>
      <c r="AC21">
        <f t="shared" si="49"/>
        <v>0</v>
      </c>
      <c r="AD21">
        <f t="shared" si="50"/>
        <v>0</v>
      </c>
    </row>
    <row r="23" spans="1:30" x14ac:dyDescent="0.2">
      <c r="A23" t="s">
        <v>8</v>
      </c>
      <c r="B23" t="s">
        <v>121</v>
      </c>
      <c r="C23">
        <v>63.65</v>
      </c>
      <c r="D23">
        <v>18.399999999999999</v>
      </c>
      <c r="E23">
        <v>6.24</v>
      </c>
      <c r="F23">
        <v>2.2599999999999998</v>
      </c>
      <c r="G23">
        <v>0.57399999999999995</v>
      </c>
      <c r="H23">
        <v>5.8099999999999999E-2</v>
      </c>
      <c r="I23">
        <v>2.2599999999999999E-3</v>
      </c>
      <c r="J23">
        <v>1.84E-4</v>
      </c>
      <c r="K23">
        <v>1.49E-5</v>
      </c>
      <c r="L23">
        <v>5.3300000000000002E-7</v>
      </c>
      <c r="M23">
        <v>4.29E-8</v>
      </c>
      <c r="N23">
        <v>3.4499999999999999E-9</v>
      </c>
      <c r="O23">
        <v>6.2500000000000001E-10</v>
      </c>
      <c r="P23" t="s">
        <v>3</v>
      </c>
      <c r="Q23" t="str">
        <f>VLOOKUP(A23,types,3)</f>
        <v>grof zand</v>
      </c>
      <c r="R23">
        <f>0*C23</f>
        <v>0</v>
      </c>
      <c r="S23">
        <f t="shared" ref="S23:S26" si="52">0*D23</f>
        <v>0</v>
      </c>
      <c r="T23">
        <f t="shared" ref="T23:T26" si="53">0*E23</f>
        <v>0</v>
      </c>
      <c r="U23">
        <f t="shared" ref="U23:U26" si="54">0*F23</f>
        <v>0</v>
      </c>
      <c r="V23">
        <f t="shared" ref="V23:V26" si="55">0*G23</f>
        <v>0</v>
      </c>
      <c r="W23">
        <f t="shared" ref="W23:W26" si="56">0*H23</f>
        <v>0</v>
      </c>
      <c r="X23">
        <f t="shared" ref="X23:X26" si="57">0*I23</f>
        <v>0</v>
      </c>
      <c r="Y23">
        <f t="shared" ref="Y23:Y26" si="58">0*J23</f>
        <v>0</v>
      </c>
      <c r="Z23">
        <f t="shared" ref="Z23:Z26" si="59">0*K23</f>
        <v>0</v>
      </c>
      <c r="AA23">
        <f t="shared" ref="AA23:AA26" si="60">0*L23</f>
        <v>0</v>
      </c>
      <c r="AB23">
        <f t="shared" ref="AB23:AB26" si="61">0*M23</f>
        <v>0</v>
      </c>
      <c r="AC23">
        <f t="shared" ref="AC23:AC26" si="62">0*N23</f>
        <v>0</v>
      </c>
      <c r="AD23">
        <f t="shared" ref="AD23:AD26" si="63">0*O23</f>
        <v>0</v>
      </c>
    </row>
    <row r="24" spans="1:30" x14ac:dyDescent="0.2">
      <c r="A24" t="s">
        <v>8</v>
      </c>
      <c r="B24" t="s">
        <v>127</v>
      </c>
      <c r="C24">
        <v>0.38100000000000001</v>
      </c>
      <c r="D24">
        <v>0.35</v>
      </c>
      <c r="E24">
        <v>0.29799999999999999</v>
      </c>
      <c r="F24">
        <v>0.249</v>
      </c>
      <c r="G24">
        <v>0.191</v>
      </c>
      <c r="H24">
        <v>0.121</v>
      </c>
      <c r="I24">
        <v>6.4000000000000001E-2</v>
      </c>
      <c r="J24">
        <v>4.1000000000000002E-2</v>
      </c>
      <c r="K24">
        <v>2.8000000000000001E-2</v>
      </c>
      <c r="L24">
        <v>1.9E-2</v>
      </c>
      <c r="M24">
        <v>1.4999999999999999E-2</v>
      </c>
      <c r="N24">
        <v>1.2999999999999999E-2</v>
      </c>
      <c r="O24">
        <v>1.1900000000000001E-2</v>
      </c>
      <c r="P24" t="s">
        <v>3</v>
      </c>
      <c r="Q24" t="str">
        <f>VLOOKUP(A24,types,3)</f>
        <v>grof zand</v>
      </c>
      <c r="R24">
        <f t="shared" ref="R24:R26" si="64">0*C24</f>
        <v>0</v>
      </c>
      <c r="S24">
        <f t="shared" si="52"/>
        <v>0</v>
      </c>
      <c r="T24">
        <f t="shared" si="53"/>
        <v>0</v>
      </c>
      <c r="U24">
        <f t="shared" si="54"/>
        <v>0</v>
      </c>
      <c r="V24">
        <f t="shared" si="55"/>
        <v>0</v>
      </c>
      <c r="W24">
        <f t="shared" si="56"/>
        <v>0</v>
      </c>
      <c r="X24">
        <f t="shared" si="57"/>
        <v>0</v>
      </c>
      <c r="Y24">
        <f t="shared" si="58"/>
        <v>0</v>
      </c>
      <c r="Z24">
        <f t="shared" si="59"/>
        <v>0</v>
      </c>
      <c r="AA24">
        <f t="shared" si="60"/>
        <v>0</v>
      </c>
      <c r="AB24">
        <f t="shared" si="61"/>
        <v>0</v>
      </c>
      <c r="AC24">
        <f t="shared" si="62"/>
        <v>0</v>
      </c>
      <c r="AD24">
        <f t="shared" si="63"/>
        <v>0</v>
      </c>
    </row>
    <row r="25" spans="1:30" x14ac:dyDescent="0.2">
      <c r="A25" t="s">
        <v>8</v>
      </c>
      <c r="B25" t="s">
        <v>126</v>
      </c>
      <c r="C25">
        <v>0</v>
      </c>
      <c r="D25">
        <v>10</v>
      </c>
      <c r="E25">
        <v>19.899999999999999</v>
      </c>
      <c r="F25">
        <v>30.6</v>
      </c>
      <c r="G25">
        <v>47.9</v>
      </c>
      <c r="H25">
        <v>78.3</v>
      </c>
      <c r="I25">
        <v>95</v>
      </c>
      <c r="J25">
        <v>96.8</v>
      </c>
      <c r="K25">
        <v>97.1</v>
      </c>
      <c r="L25">
        <v>97.1</v>
      </c>
      <c r="M25">
        <v>97.1</v>
      </c>
      <c r="N25">
        <v>97.1</v>
      </c>
      <c r="O25">
        <v>97.1</v>
      </c>
      <c r="P25" t="s">
        <v>3</v>
      </c>
      <c r="Q25" t="str">
        <f>VLOOKUP(A25,types,3)</f>
        <v>grof zand</v>
      </c>
      <c r="R25">
        <f t="shared" si="64"/>
        <v>0</v>
      </c>
      <c r="S25">
        <f t="shared" si="52"/>
        <v>0</v>
      </c>
      <c r="T25">
        <f t="shared" si="53"/>
        <v>0</v>
      </c>
      <c r="U25">
        <f t="shared" si="54"/>
        <v>0</v>
      </c>
      <c r="V25">
        <f t="shared" si="55"/>
        <v>0</v>
      </c>
      <c r="W25">
        <f t="shared" si="56"/>
        <v>0</v>
      </c>
      <c r="X25">
        <f t="shared" si="57"/>
        <v>0</v>
      </c>
      <c r="Y25">
        <f t="shared" si="58"/>
        <v>0</v>
      </c>
      <c r="Z25">
        <f t="shared" si="59"/>
        <v>0</v>
      </c>
      <c r="AA25">
        <f t="shared" si="60"/>
        <v>0</v>
      </c>
      <c r="AB25">
        <f t="shared" si="61"/>
        <v>0</v>
      </c>
      <c r="AC25">
        <f t="shared" si="62"/>
        <v>0</v>
      </c>
      <c r="AD25">
        <f t="shared" si="63"/>
        <v>0</v>
      </c>
    </row>
    <row r="26" spans="1:30" x14ac:dyDescent="0.2">
      <c r="A26" t="s">
        <v>8</v>
      </c>
      <c r="B26" t="s">
        <v>111</v>
      </c>
      <c r="C26">
        <v>0</v>
      </c>
      <c r="D26">
        <v>9.9</v>
      </c>
      <c r="E26">
        <v>19.7</v>
      </c>
      <c r="F26">
        <v>30.2</v>
      </c>
      <c r="G26">
        <v>46.1</v>
      </c>
      <c r="H26">
        <v>68.8</v>
      </c>
      <c r="I26">
        <v>78</v>
      </c>
      <c r="J26">
        <v>78.900000000000006</v>
      </c>
      <c r="K26">
        <v>79</v>
      </c>
      <c r="L26">
        <v>79.099999999999994</v>
      </c>
      <c r="M26">
        <v>79.099999999999994</v>
      </c>
      <c r="N26">
        <v>79.099999999999994</v>
      </c>
      <c r="O26">
        <v>79.099999999999994</v>
      </c>
      <c r="P26" t="s">
        <v>3</v>
      </c>
      <c r="Q26" t="str">
        <f>VLOOKUP(A26,types,3)</f>
        <v>grof zand</v>
      </c>
      <c r="R26">
        <f t="shared" si="64"/>
        <v>0</v>
      </c>
      <c r="S26">
        <f t="shared" si="52"/>
        <v>0</v>
      </c>
      <c r="T26">
        <f t="shared" si="53"/>
        <v>0</v>
      </c>
      <c r="U26">
        <f t="shared" si="54"/>
        <v>0</v>
      </c>
      <c r="V26">
        <f t="shared" si="55"/>
        <v>0</v>
      </c>
      <c r="W26">
        <f t="shared" si="56"/>
        <v>0</v>
      </c>
      <c r="X26">
        <f t="shared" si="57"/>
        <v>0</v>
      </c>
      <c r="Y26">
        <f t="shared" si="58"/>
        <v>0</v>
      </c>
      <c r="Z26">
        <f t="shared" si="59"/>
        <v>0</v>
      </c>
      <c r="AA26">
        <f t="shared" si="60"/>
        <v>0</v>
      </c>
      <c r="AB26">
        <f t="shared" si="61"/>
        <v>0</v>
      </c>
      <c r="AC26">
        <f t="shared" si="62"/>
        <v>0</v>
      </c>
      <c r="AD26">
        <f t="shared" si="63"/>
        <v>0</v>
      </c>
    </row>
    <row r="28" spans="1:30" x14ac:dyDescent="0.2">
      <c r="A28" t="s">
        <v>9</v>
      </c>
      <c r="B28" t="s">
        <v>121</v>
      </c>
      <c r="C28">
        <v>104.1</v>
      </c>
      <c r="D28">
        <v>11.92</v>
      </c>
      <c r="E28">
        <v>6.16</v>
      </c>
      <c r="F28">
        <v>3.62</v>
      </c>
      <c r="G28">
        <v>1.83</v>
      </c>
      <c r="H28">
        <v>0.56200000000000006</v>
      </c>
      <c r="I28">
        <v>9.3399999999999997E-2</v>
      </c>
      <c r="J28">
        <v>2.18E-2</v>
      </c>
      <c r="K28">
        <v>4.9100000000000003E-3</v>
      </c>
      <c r="L28">
        <v>6.6699999999999995E-4</v>
      </c>
      <c r="M28">
        <v>1.46E-4</v>
      </c>
      <c r="N28">
        <v>3.2100000000000001E-5</v>
      </c>
      <c r="O28">
        <v>1.1399999999999999E-5</v>
      </c>
      <c r="P28" t="s">
        <v>3</v>
      </c>
      <c r="Q28" t="str">
        <f>VLOOKUP(A28,types,3)</f>
        <v>keileem</v>
      </c>
      <c r="R28">
        <f>0*C28</f>
        <v>0</v>
      </c>
      <c r="S28">
        <f t="shared" ref="S28:S31" si="65">0*D28</f>
        <v>0</v>
      </c>
      <c r="T28">
        <f t="shared" ref="T28:T31" si="66">0*E28</f>
        <v>0</v>
      </c>
      <c r="U28">
        <f t="shared" ref="U28:U31" si="67">0*F28</f>
        <v>0</v>
      </c>
      <c r="V28">
        <f t="shared" ref="V28:V31" si="68">0*G28</f>
        <v>0</v>
      </c>
      <c r="W28">
        <f t="shared" ref="W28:W31" si="69">0*H28</f>
        <v>0</v>
      </c>
      <c r="X28">
        <f t="shared" ref="X28:X31" si="70">0*I28</f>
        <v>0</v>
      </c>
      <c r="Y28">
        <f t="shared" ref="Y28:Y31" si="71">0*J28</f>
        <v>0</v>
      </c>
      <c r="Z28">
        <f t="shared" ref="Z28:Z31" si="72">0*K28</f>
        <v>0</v>
      </c>
      <c r="AA28">
        <f t="shared" ref="AA28:AA31" si="73">0*L28</f>
        <v>0</v>
      </c>
      <c r="AB28">
        <f t="shared" ref="AB28:AB31" si="74">0*M28</f>
        <v>0</v>
      </c>
      <c r="AC28">
        <f t="shared" ref="AC28:AC31" si="75">0*N28</f>
        <v>0</v>
      </c>
      <c r="AD28">
        <f t="shared" ref="AD28:AD31" si="76">0*O28</f>
        <v>0</v>
      </c>
    </row>
    <row r="29" spans="1:30" x14ac:dyDescent="0.2">
      <c r="A29" t="s">
        <v>9</v>
      </c>
      <c r="B29" t="s">
        <v>127</v>
      </c>
      <c r="C29">
        <v>0.38500000000000001</v>
      </c>
      <c r="D29">
        <v>0.375</v>
      </c>
      <c r="E29">
        <v>0.36399999999999999</v>
      </c>
      <c r="F29">
        <v>0.35299999999999998</v>
      </c>
      <c r="G29">
        <v>0.33600000000000002</v>
      </c>
      <c r="H29">
        <v>0.30399999999999999</v>
      </c>
      <c r="I29">
        <v>0.255</v>
      </c>
      <c r="J29">
        <v>0.22</v>
      </c>
      <c r="K29">
        <v>0.189</v>
      </c>
      <c r="L29">
        <v>0.154</v>
      </c>
      <c r="M29">
        <v>0.13100000000000001</v>
      </c>
      <c r="N29">
        <v>0.113</v>
      </c>
      <c r="O29">
        <v>0.10165</v>
      </c>
      <c r="P29" t="s">
        <v>3</v>
      </c>
      <c r="Q29" t="str">
        <f>VLOOKUP(A29,types,3)</f>
        <v>keileem</v>
      </c>
      <c r="R29">
        <f t="shared" ref="R29:R31" si="77">0*C29</f>
        <v>0</v>
      </c>
      <c r="S29">
        <f t="shared" si="65"/>
        <v>0</v>
      </c>
      <c r="T29">
        <f t="shared" si="66"/>
        <v>0</v>
      </c>
      <c r="U29">
        <f t="shared" si="67"/>
        <v>0</v>
      </c>
      <c r="V29">
        <f t="shared" si="68"/>
        <v>0</v>
      </c>
      <c r="W29">
        <f t="shared" si="69"/>
        <v>0</v>
      </c>
      <c r="X29">
        <f t="shared" si="70"/>
        <v>0</v>
      </c>
      <c r="Y29">
        <f t="shared" si="71"/>
        <v>0</v>
      </c>
      <c r="Z29">
        <f t="shared" si="72"/>
        <v>0</v>
      </c>
      <c r="AA29">
        <f t="shared" si="73"/>
        <v>0</v>
      </c>
      <c r="AB29">
        <f t="shared" si="74"/>
        <v>0</v>
      </c>
      <c r="AC29">
        <f t="shared" si="75"/>
        <v>0</v>
      </c>
      <c r="AD29">
        <f t="shared" si="76"/>
        <v>0</v>
      </c>
    </row>
    <row r="30" spans="1:30" x14ac:dyDescent="0.2">
      <c r="A30" t="s">
        <v>9</v>
      </c>
      <c r="B30" t="s">
        <v>126</v>
      </c>
      <c r="C30">
        <v>0</v>
      </c>
      <c r="D30">
        <v>9.9</v>
      </c>
      <c r="E30">
        <v>19.8</v>
      </c>
      <c r="F30">
        <v>30.6</v>
      </c>
      <c r="G30">
        <v>48.9</v>
      </c>
      <c r="H30">
        <v>94</v>
      </c>
      <c r="I30">
        <v>193.1</v>
      </c>
      <c r="J30">
        <v>268.39999999999998</v>
      </c>
      <c r="K30">
        <v>314.89999999999998</v>
      </c>
      <c r="L30">
        <v>341.8</v>
      </c>
      <c r="M30">
        <v>349.7</v>
      </c>
      <c r="N30">
        <v>353.1</v>
      </c>
      <c r="O30">
        <v>354.3</v>
      </c>
      <c r="P30" t="s">
        <v>3</v>
      </c>
      <c r="Q30" t="str">
        <f>VLOOKUP(A30,types,3)</f>
        <v>keileem</v>
      </c>
      <c r="R30">
        <f t="shared" si="77"/>
        <v>0</v>
      </c>
      <c r="S30">
        <f t="shared" si="65"/>
        <v>0</v>
      </c>
      <c r="T30">
        <f t="shared" si="66"/>
        <v>0</v>
      </c>
      <c r="U30">
        <f t="shared" si="67"/>
        <v>0</v>
      </c>
      <c r="V30">
        <f t="shared" si="68"/>
        <v>0</v>
      </c>
      <c r="W30">
        <f t="shared" si="69"/>
        <v>0</v>
      </c>
      <c r="X30">
        <f t="shared" si="70"/>
        <v>0</v>
      </c>
      <c r="Y30">
        <f t="shared" si="71"/>
        <v>0</v>
      </c>
      <c r="Z30">
        <f t="shared" si="72"/>
        <v>0</v>
      </c>
      <c r="AA30">
        <f t="shared" si="73"/>
        <v>0</v>
      </c>
      <c r="AB30">
        <f t="shared" si="74"/>
        <v>0</v>
      </c>
      <c r="AC30">
        <f t="shared" si="75"/>
        <v>0</v>
      </c>
      <c r="AD30">
        <f t="shared" si="76"/>
        <v>0</v>
      </c>
    </row>
    <row r="31" spans="1:30" x14ac:dyDescent="0.2">
      <c r="A31" t="s">
        <v>9</v>
      </c>
      <c r="B31" t="s">
        <v>111</v>
      </c>
      <c r="C31">
        <v>0</v>
      </c>
      <c r="D31">
        <v>9.9</v>
      </c>
      <c r="E31">
        <v>19.7</v>
      </c>
      <c r="F31">
        <v>30.2</v>
      </c>
      <c r="G31">
        <v>47.8</v>
      </c>
      <c r="H31">
        <v>88.9</v>
      </c>
      <c r="I31">
        <v>164.4</v>
      </c>
      <c r="J31">
        <v>209.6</v>
      </c>
      <c r="K31">
        <v>234.1</v>
      </c>
      <c r="L31">
        <v>247.8</v>
      </c>
      <c r="M31">
        <v>251.7</v>
      </c>
      <c r="N31">
        <v>253.4</v>
      </c>
      <c r="O31">
        <v>254</v>
      </c>
      <c r="P31" t="s">
        <v>3</v>
      </c>
      <c r="Q31" t="str">
        <f>VLOOKUP(A31,types,3)</f>
        <v>keileem</v>
      </c>
      <c r="R31">
        <f t="shared" si="77"/>
        <v>0</v>
      </c>
      <c r="S31">
        <f t="shared" si="65"/>
        <v>0</v>
      </c>
      <c r="T31">
        <f t="shared" si="66"/>
        <v>0</v>
      </c>
      <c r="U31">
        <f t="shared" si="67"/>
        <v>0</v>
      </c>
      <c r="V31">
        <f t="shared" si="68"/>
        <v>0</v>
      </c>
      <c r="W31">
        <f t="shared" si="69"/>
        <v>0</v>
      </c>
      <c r="X31">
        <f t="shared" si="70"/>
        <v>0</v>
      </c>
      <c r="Y31">
        <f t="shared" si="71"/>
        <v>0</v>
      </c>
      <c r="Z31">
        <f t="shared" si="72"/>
        <v>0</v>
      </c>
      <c r="AA31">
        <f t="shared" si="73"/>
        <v>0</v>
      </c>
      <c r="AB31">
        <f t="shared" si="74"/>
        <v>0</v>
      </c>
      <c r="AC31">
        <f t="shared" si="75"/>
        <v>0</v>
      </c>
      <c r="AD31">
        <f t="shared" si="76"/>
        <v>0</v>
      </c>
    </row>
    <row r="33" spans="1:30" x14ac:dyDescent="0.2">
      <c r="A33" t="s">
        <v>11</v>
      </c>
      <c r="B33" t="s">
        <v>121</v>
      </c>
      <c r="C33">
        <v>14.58</v>
      </c>
      <c r="D33">
        <v>1.83</v>
      </c>
      <c r="E33">
        <v>0.93</v>
      </c>
      <c r="F33">
        <v>0.53</v>
      </c>
      <c r="G33">
        <v>0.247</v>
      </c>
      <c r="H33">
        <v>6.3600000000000004E-2</v>
      </c>
      <c r="I33">
        <v>7.3899999999999999E-3</v>
      </c>
      <c r="J33">
        <v>1.24E-3</v>
      </c>
      <c r="K33">
        <v>1.9599999999999999E-4</v>
      </c>
      <c r="L33">
        <v>1.6399999999999999E-5</v>
      </c>
      <c r="M33">
        <v>2.4899999999999999E-6</v>
      </c>
      <c r="N33">
        <v>3.7500000000000001E-7</v>
      </c>
      <c r="O33">
        <v>1.04E-7</v>
      </c>
      <c r="P33" t="s">
        <v>10</v>
      </c>
      <c r="Q33" t="str">
        <f>VLOOKUP(A33,types,3)</f>
        <v>zeer lichte zavel</v>
      </c>
      <c r="R33">
        <f>0*C33</f>
        <v>0</v>
      </c>
      <c r="S33">
        <f t="shared" ref="S33:S36" si="78">0*D33</f>
        <v>0</v>
      </c>
      <c r="T33">
        <f t="shared" ref="T33:T36" si="79">0*E33</f>
        <v>0</v>
      </c>
      <c r="U33">
        <f t="shared" ref="U33:U36" si="80">0*F33</f>
        <v>0</v>
      </c>
      <c r="V33">
        <f t="shared" ref="V33:V36" si="81">0*G33</f>
        <v>0</v>
      </c>
      <c r="W33">
        <f t="shared" ref="W33:W36" si="82">0*H33</f>
        <v>0</v>
      </c>
      <c r="X33">
        <f t="shared" ref="X33:X36" si="83">0*I33</f>
        <v>0</v>
      </c>
      <c r="Y33">
        <f t="shared" ref="Y33:Y36" si="84">0*J33</f>
        <v>0</v>
      </c>
      <c r="Z33">
        <f t="shared" ref="Z33:Z36" si="85">0*K33</f>
        <v>0</v>
      </c>
      <c r="AA33">
        <f t="shared" ref="AA33:AA36" si="86">0*L33</f>
        <v>0</v>
      </c>
      <c r="AB33">
        <f t="shared" ref="AB33:AB36" si="87">0*M33</f>
        <v>0</v>
      </c>
      <c r="AC33">
        <f t="shared" ref="AC33:AC36" si="88">0*N33</f>
        <v>0</v>
      </c>
      <c r="AD33">
        <f t="shared" ref="AD33:AD36" si="89">0*O33</f>
        <v>0</v>
      </c>
    </row>
    <row r="34" spans="1:30" x14ac:dyDescent="0.2">
      <c r="A34" t="s">
        <v>11</v>
      </c>
      <c r="B34" t="s">
        <v>127</v>
      </c>
      <c r="C34">
        <v>0.40100000000000002</v>
      </c>
      <c r="D34">
        <v>0.39200000000000002</v>
      </c>
      <c r="E34">
        <v>0.38100000000000001</v>
      </c>
      <c r="F34">
        <v>0.37</v>
      </c>
      <c r="G34">
        <v>0.35299999999999998</v>
      </c>
      <c r="H34">
        <v>0.31900000000000001</v>
      </c>
      <c r="I34">
        <v>0.26700000000000002</v>
      </c>
      <c r="J34">
        <v>0.22800000000000001</v>
      </c>
      <c r="K34">
        <v>0.19400000000000001</v>
      </c>
      <c r="L34">
        <v>0.155</v>
      </c>
      <c r="M34">
        <v>0.13</v>
      </c>
      <c r="N34">
        <v>0.11</v>
      </c>
      <c r="O34">
        <v>9.7710000000000005E-2</v>
      </c>
      <c r="P34" t="s">
        <v>10</v>
      </c>
      <c r="Q34" t="str">
        <f>VLOOKUP(A34,types,3)</f>
        <v>zeer lichte zavel</v>
      </c>
      <c r="R34">
        <f t="shared" ref="R34:R36" si="90">0*C34</f>
        <v>0</v>
      </c>
      <c r="S34">
        <f t="shared" si="78"/>
        <v>0</v>
      </c>
      <c r="T34">
        <f t="shared" si="79"/>
        <v>0</v>
      </c>
      <c r="U34">
        <f t="shared" si="80"/>
        <v>0</v>
      </c>
      <c r="V34">
        <f t="shared" si="81"/>
        <v>0</v>
      </c>
      <c r="W34">
        <f t="shared" si="82"/>
        <v>0</v>
      </c>
      <c r="X34">
        <f t="shared" si="83"/>
        <v>0</v>
      </c>
      <c r="Y34">
        <f t="shared" si="84"/>
        <v>0</v>
      </c>
      <c r="Z34">
        <f t="shared" si="85"/>
        <v>0</v>
      </c>
      <c r="AA34">
        <f t="shared" si="86"/>
        <v>0</v>
      </c>
      <c r="AB34">
        <f t="shared" si="87"/>
        <v>0</v>
      </c>
      <c r="AC34">
        <f t="shared" si="88"/>
        <v>0</v>
      </c>
      <c r="AD34">
        <f t="shared" si="89"/>
        <v>0</v>
      </c>
    </row>
    <row r="35" spans="1:30" x14ac:dyDescent="0.2">
      <c r="A35" t="s">
        <v>11</v>
      </c>
      <c r="B35" t="s">
        <v>126</v>
      </c>
      <c r="C35">
        <v>0</v>
      </c>
      <c r="D35">
        <v>9.6999999999999993</v>
      </c>
      <c r="E35">
        <v>18.899999999999999</v>
      </c>
      <c r="F35">
        <v>28.5</v>
      </c>
      <c r="G35">
        <v>43.3</v>
      </c>
      <c r="H35">
        <v>70.400000000000006</v>
      </c>
      <c r="I35">
        <v>96.7</v>
      </c>
      <c r="J35">
        <v>104.3</v>
      </c>
      <c r="K35">
        <v>106.8</v>
      </c>
      <c r="L35">
        <v>107.7</v>
      </c>
      <c r="M35">
        <v>107.9</v>
      </c>
      <c r="N35">
        <v>108</v>
      </c>
      <c r="O35">
        <v>108</v>
      </c>
      <c r="P35" t="s">
        <v>10</v>
      </c>
      <c r="Q35" t="str">
        <f>VLOOKUP(A35,types,3)</f>
        <v>zeer lichte zavel</v>
      </c>
      <c r="R35">
        <f t="shared" si="90"/>
        <v>0</v>
      </c>
      <c r="S35">
        <f t="shared" si="78"/>
        <v>0</v>
      </c>
      <c r="T35">
        <f t="shared" si="79"/>
        <v>0</v>
      </c>
      <c r="U35">
        <f t="shared" si="80"/>
        <v>0</v>
      </c>
      <c r="V35">
        <f t="shared" si="81"/>
        <v>0</v>
      </c>
      <c r="W35">
        <f t="shared" si="82"/>
        <v>0</v>
      </c>
      <c r="X35">
        <f t="shared" si="83"/>
        <v>0</v>
      </c>
      <c r="Y35">
        <f t="shared" si="84"/>
        <v>0</v>
      </c>
      <c r="Z35">
        <f t="shared" si="85"/>
        <v>0</v>
      </c>
      <c r="AA35">
        <f t="shared" si="86"/>
        <v>0</v>
      </c>
      <c r="AB35">
        <f t="shared" si="87"/>
        <v>0</v>
      </c>
      <c r="AC35">
        <f t="shared" si="88"/>
        <v>0</v>
      </c>
      <c r="AD35">
        <f t="shared" si="89"/>
        <v>0</v>
      </c>
    </row>
    <row r="36" spans="1:30" x14ac:dyDescent="0.2">
      <c r="A36" t="s">
        <v>11</v>
      </c>
      <c r="B36" t="s">
        <v>111</v>
      </c>
      <c r="C36">
        <v>0</v>
      </c>
      <c r="D36">
        <v>9.4</v>
      </c>
      <c r="E36">
        <v>18</v>
      </c>
      <c r="F36">
        <v>26.5</v>
      </c>
      <c r="G36">
        <v>38.6</v>
      </c>
      <c r="H36">
        <v>57.5</v>
      </c>
      <c r="I36">
        <v>72.3</v>
      </c>
      <c r="J36">
        <v>76.2</v>
      </c>
      <c r="K36">
        <v>77.5</v>
      </c>
      <c r="L36">
        <v>77.900000000000006</v>
      </c>
      <c r="M36">
        <v>78</v>
      </c>
      <c r="N36">
        <v>78</v>
      </c>
      <c r="O36">
        <v>78</v>
      </c>
      <c r="P36" t="s">
        <v>10</v>
      </c>
      <c r="Q36" t="str">
        <f>VLOOKUP(A36,types,3)</f>
        <v>zeer lichte zavel</v>
      </c>
      <c r="R36">
        <f t="shared" si="90"/>
        <v>0</v>
      </c>
      <c r="S36">
        <f t="shared" si="78"/>
        <v>0</v>
      </c>
      <c r="T36">
        <f t="shared" si="79"/>
        <v>0</v>
      </c>
      <c r="U36">
        <f t="shared" si="80"/>
        <v>0</v>
      </c>
      <c r="V36">
        <f t="shared" si="81"/>
        <v>0</v>
      </c>
      <c r="W36">
        <f t="shared" si="82"/>
        <v>0</v>
      </c>
      <c r="X36">
        <f t="shared" si="83"/>
        <v>0</v>
      </c>
      <c r="Y36">
        <f t="shared" si="84"/>
        <v>0</v>
      </c>
      <c r="Z36">
        <f t="shared" si="85"/>
        <v>0</v>
      </c>
      <c r="AA36">
        <f t="shared" si="86"/>
        <v>0</v>
      </c>
      <c r="AB36">
        <f t="shared" si="87"/>
        <v>0</v>
      </c>
      <c r="AC36">
        <f t="shared" si="88"/>
        <v>0</v>
      </c>
      <c r="AD36">
        <f t="shared" si="89"/>
        <v>0</v>
      </c>
    </row>
    <row r="38" spans="1:30" x14ac:dyDescent="0.2">
      <c r="A38" t="s">
        <v>12</v>
      </c>
      <c r="B38" t="s">
        <v>121</v>
      </c>
      <c r="C38">
        <v>3</v>
      </c>
      <c r="D38">
        <v>0.68</v>
      </c>
      <c r="E38">
        <v>0.43</v>
      </c>
      <c r="F38">
        <v>0.3</v>
      </c>
      <c r="G38">
        <v>0.182</v>
      </c>
      <c r="H38">
        <v>7.3400000000000007E-2</v>
      </c>
      <c r="I38">
        <v>1.6400000000000001E-2</v>
      </c>
      <c r="J38">
        <v>4.5500000000000002E-3</v>
      </c>
      <c r="K38">
        <v>1.1800000000000001E-3</v>
      </c>
      <c r="L38">
        <v>1.9000000000000001E-4</v>
      </c>
      <c r="M38">
        <v>4.71E-5</v>
      </c>
      <c r="N38">
        <v>1.1600000000000001E-5</v>
      </c>
      <c r="O38">
        <v>4.5000000000000001E-6</v>
      </c>
      <c r="P38" t="s">
        <v>10</v>
      </c>
      <c r="Q38" t="str">
        <f>VLOOKUP(A38,types,3)</f>
        <v>matig lichte zavel</v>
      </c>
      <c r="R38">
        <f>0*C38</f>
        <v>0</v>
      </c>
      <c r="S38">
        <f t="shared" ref="S38:S41" si="91">0*D38</f>
        <v>0</v>
      </c>
      <c r="T38">
        <f t="shared" ref="T38:T41" si="92">0*E38</f>
        <v>0</v>
      </c>
      <c r="U38">
        <f t="shared" ref="U38:U41" si="93">0*F38</f>
        <v>0</v>
      </c>
      <c r="V38">
        <f t="shared" ref="V38:V41" si="94">0*G38</f>
        <v>0</v>
      </c>
      <c r="W38">
        <f t="shared" ref="W38:W41" si="95">0*H38</f>
        <v>0</v>
      </c>
      <c r="X38">
        <f t="shared" ref="X38:X41" si="96">0*I38</f>
        <v>0</v>
      </c>
      <c r="Y38">
        <f t="shared" ref="Y38:Y41" si="97">0*J38</f>
        <v>0</v>
      </c>
      <c r="Z38">
        <f t="shared" ref="Z38:Z41" si="98">0*K38</f>
        <v>0</v>
      </c>
      <c r="AA38">
        <f t="shared" ref="AA38:AA41" si="99">0*L38</f>
        <v>0</v>
      </c>
      <c r="AB38">
        <f t="shared" ref="AB38:AB41" si="100">0*M38</f>
        <v>0</v>
      </c>
      <c r="AC38">
        <f t="shared" ref="AC38:AC41" si="101">0*N38</f>
        <v>0</v>
      </c>
      <c r="AD38">
        <f t="shared" ref="AD38:AD41" si="102">0*O38</f>
        <v>0</v>
      </c>
    </row>
    <row r="39" spans="1:30" x14ac:dyDescent="0.2">
      <c r="A39" t="s">
        <v>12</v>
      </c>
      <c r="B39" t="s">
        <v>127</v>
      </c>
      <c r="C39">
        <v>0.433</v>
      </c>
      <c r="D39">
        <v>0.42799999999999999</v>
      </c>
      <c r="E39">
        <v>0.42099999999999999</v>
      </c>
      <c r="F39">
        <v>0.41399999999999998</v>
      </c>
      <c r="G39">
        <v>0.40100000000000002</v>
      </c>
      <c r="H39">
        <v>0.371</v>
      </c>
      <c r="I39">
        <v>0.316</v>
      </c>
      <c r="J39">
        <v>0.27</v>
      </c>
      <c r="K39">
        <v>0.22800000000000001</v>
      </c>
      <c r="L39">
        <v>0.18</v>
      </c>
      <c r="M39">
        <v>0.15</v>
      </c>
      <c r="N39">
        <v>0.126</v>
      </c>
      <c r="O39">
        <v>0.11174000000000001</v>
      </c>
      <c r="P39" t="s">
        <v>10</v>
      </c>
      <c r="Q39" t="str">
        <f>VLOOKUP(A39,types,3)</f>
        <v>matig lichte zavel</v>
      </c>
      <c r="R39">
        <f t="shared" ref="R39:R41" si="103">0*C39</f>
        <v>0</v>
      </c>
      <c r="S39">
        <f t="shared" si="91"/>
        <v>0</v>
      </c>
      <c r="T39">
        <f t="shared" si="92"/>
        <v>0</v>
      </c>
      <c r="U39">
        <f t="shared" si="93"/>
        <v>0</v>
      </c>
      <c r="V39">
        <f t="shared" si="94"/>
        <v>0</v>
      </c>
      <c r="W39">
        <f t="shared" si="95"/>
        <v>0</v>
      </c>
      <c r="X39">
        <f t="shared" si="96"/>
        <v>0</v>
      </c>
      <c r="Y39">
        <f t="shared" si="97"/>
        <v>0</v>
      </c>
      <c r="Z39">
        <f t="shared" si="98"/>
        <v>0</v>
      </c>
      <c r="AA39">
        <f t="shared" si="99"/>
        <v>0</v>
      </c>
      <c r="AB39">
        <f t="shared" si="100"/>
        <v>0</v>
      </c>
      <c r="AC39">
        <f t="shared" si="101"/>
        <v>0</v>
      </c>
      <c r="AD39">
        <f t="shared" si="102"/>
        <v>0</v>
      </c>
    </row>
    <row r="40" spans="1:30" x14ac:dyDescent="0.2">
      <c r="A40" t="s">
        <v>12</v>
      </c>
      <c r="B40" t="s">
        <v>126</v>
      </c>
      <c r="C40">
        <v>0</v>
      </c>
      <c r="D40">
        <v>9.1</v>
      </c>
      <c r="E40">
        <v>17.5</v>
      </c>
      <c r="F40">
        <v>26.1</v>
      </c>
      <c r="G40">
        <v>39.299999999999997</v>
      </c>
      <c r="H40">
        <v>65.7</v>
      </c>
      <c r="I40">
        <v>103.1</v>
      </c>
      <c r="J40">
        <v>122.8</v>
      </c>
      <c r="K40">
        <v>134.1</v>
      </c>
      <c r="L40">
        <v>141.19999999999999</v>
      </c>
      <c r="M40">
        <v>143.5</v>
      </c>
      <c r="N40">
        <v>144.69999999999999</v>
      </c>
      <c r="O40">
        <v>145.1</v>
      </c>
      <c r="P40" t="s">
        <v>10</v>
      </c>
      <c r="Q40" t="str">
        <f>VLOOKUP(A40,types,3)</f>
        <v>matig lichte zavel</v>
      </c>
      <c r="R40">
        <f t="shared" si="103"/>
        <v>0</v>
      </c>
      <c r="S40">
        <f t="shared" si="91"/>
        <v>0</v>
      </c>
      <c r="T40">
        <f t="shared" si="92"/>
        <v>0</v>
      </c>
      <c r="U40">
        <f t="shared" si="93"/>
        <v>0</v>
      </c>
      <c r="V40">
        <f t="shared" si="94"/>
        <v>0</v>
      </c>
      <c r="W40">
        <f t="shared" si="95"/>
        <v>0</v>
      </c>
      <c r="X40">
        <f t="shared" si="96"/>
        <v>0</v>
      </c>
      <c r="Y40">
        <f t="shared" si="97"/>
        <v>0</v>
      </c>
      <c r="Z40">
        <f t="shared" si="98"/>
        <v>0</v>
      </c>
      <c r="AA40">
        <f t="shared" si="99"/>
        <v>0</v>
      </c>
      <c r="AB40">
        <f t="shared" si="100"/>
        <v>0</v>
      </c>
      <c r="AC40">
        <f t="shared" si="101"/>
        <v>0</v>
      </c>
      <c r="AD40">
        <f t="shared" si="102"/>
        <v>0</v>
      </c>
    </row>
    <row r="41" spans="1:30" x14ac:dyDescent="0.2">
      <c r="A41" t="s">
        <v>12</v>
      </c>
      <c r="B41" t="s">
        <v>111</v>
      </c>
      <c r="C41">
        <v>0</v>
      </c>
      <c r="D41">
        <v>8.3000000000000007</v>
      </c>
      <c r="E41">
        <v>15.6</v>
      </c>
      <c r="F41">
        <v>22.6</v>
      </c>
      <c r="G41">
        <v>32.799999999999997</v>
      </c>
      <c r="H41">
        <v>50.8</v>
      </c>
      <c r="I41">
        <v>72.5</v>
      </c>
      <c r="J41">
        <v>82.9</v>
      </c>
      <c r="K41">
        <v>88.6</v>
      </c>
      <c r="L41">
        <v>92.1</v>
      </c>
      <c r="M41">
        <v>93.3</v>
      </c>
      <c r="N41">
        <v>93.9</v>
      </c>
      <c r="O41">
        <v>94.1</v>
      </c>
      <c r="P41" t="s">
        <v>10</v>
      </c>
      <c r="Q41" t="str">
        <f>VLOOKUP(A41,types,3)</f>
        <v>matig lichte zavel</v>
      </c>
      <c r="R41">
        <f t="shared" si="103"/>
        <v>0</v>
      </c>
      <c r="S41">
        <f t="shared" si="91"/>
        <v>0</v>
      </c>
      <c r="T41">
        <f t="shared" si="92"/>
        <v>0</v>
      </c>
      <c r="U41">
        <f t="shared" si="93"/>
        <v>0</v>
      </c>
      <c r="V41">
        <f t="shared" si="94"/>
        <v>0</v>
      </c>
      <c r="W41">
        <f t="shared" si="95"/>
        <v>0</v>
      </c>
      <c r="X41">
        <f t="shared" si="96"/>
        <v>0</v>
      </c>
      <c r="Y41">
        <f t="shared" si="97"/>
        <v>0</v>
      </c>
      <c r="Z41">
        <f t="shared" si="98"/>
        <v>0</v>
      </c>
      <c r="AA41">
        <f t="shared" si="99"/>
        <v>0</v>
      </c>
      <c r="AB41">
        <f t="shared" si="100"/>
        <v>0</v>
      </c>
      <c r="AC41">
        <f t="shared" si="101"/>
        <v>0</v>
      </c>
      <c r="AD41">
        <f t="shared" si="102"/>
        <v>0</v>
      </c>
    </row>
    <row r="43" spans="1:30" x14ac:dyDescent="0.2">
      <c r="A43" t="s">
        <v>68</v>
      </c>
      <c r="B43" t="s">
        <v>121</v>
      </c>
      <c r="C43">
        <v>1.75</v>
      </c>
      <c r="D43">
        <v>0.47</v>
      </c>
      <c r="E43">
        <v>0.32</v>
      </c>
      <c r="F43">
        <v>0.24</v>
      </c>
      <c r="G43">
        <v>0.156</v>
      </c>
      <c r="H43">
        <v>7.3499999999999996E-2</v>
      </c>
      <c r="I43">
        <v>2.0199999999999999E-2</v>
      </c>
      <c r="J43">
        <v>6.3699999999999998E-3</v>
      </c>
      <c r="K43">
        <v>1.8500000000000001E-3</v>
      </c>
      <c r="L43">
        <v>3.3799999999999998E-4</v>
      </c>
      <c r="M43">
        <v>9.1799999999999995E-5</v>
      </c>
      <c r="N43">
        <v>2.48E-5</v>
      </c>
      <c r="O43">
        <v>1.0200000000000001E-5</v>
      </c>
      <c r="P43" t="s">
        <v>10</v>
      </c>
      <c r="Q43" t="str">
        <f>VLOOKUP(A43,types,3)</f>
        <v>zware zavel</v>
      </c>
      <c r="R43">
        <f>0*C43</f>
        <v>0</v>
      </c>
      <c r="S43">
        <f t="shared" ref="S43:S46" si="104">0*D43</f>
        <v>0</v>
      </c>
      <c r="T43">
        <f t="shared" ref="T43:T46" si="105">0*E43</f>
        <v>0</v>
      </c>
      <c r="U43">
        <f t="shared" ref="U43:U46" si="106">0*F43</f>
        <v>0</v>
      </c>
      <c r="V43">
        <f t="shared" ref="V43:V46" si="107">0*G43</f>
        <v>0</v>
      </c>
      <c r="W43">
        <f t="shared" ref="W43:W46" si="108">0*H43</f>
        <v>0</v>
      </c>
      <c r="X43">
        <f t="shared" ref="X43:X46" si="109">0*I43</f>
        <v>0</v>
      </c>
      <c r="Y43">
        <f t="shared" ref="Y43:Y46" si="110">0*J43</f>
        <v>0</v>
      </c>
      <c r="Z43">
        <f t="shared" ref="Z43:Z46" si="111">0*K43</f>
        <v>0</v>
      </c>
      <c r="AA43">
        <f t="shared" ref="AA43:AA46" si="112">0*L43</f>
        <v>0</v>
      </c>
      <c r="AB43">
        <f t="shared" ref="AB43:AB46" si="113">0*M43</f>
        <v>0</v>
      </c>
      <c r="AC43">
        <f t="shared" ref="AC43:AC46" si="114">0*N43</f>
        <v>0</v>
      </c>
      <c r="AD43">
        <f t="shared" ref="AD43:AD46" si="115">0*O43</f>
        <v>0</v>
      </c>
    </row>
    <row r="44" spans="1:30" x14ac:dyDescent="0.2">
      <c r="A44" t="s">
        <v>68</v>
      </c>
      <c r="B44" t="s">
        <v>127</v>
      </c>
      <c r="C44">
        <v>0.43</v>
      </c>
      <c r="D44">
        <v>0.42699999999999999</v>
      </c>
      <c r="E44">
        <v>0.42199999999999999</v>
      </c>
      <c r="F44">
        <v>0.41799999999999998</v>
      </c>
      <c r="G44">
        <v>0.40899999999999997</v>
      </c>
      <c r="H44">
        <v>0.38700000000000001</v>
      </c>
      <c r="I44">
        <v>0.34</v>
      </c>
      <c r="J44">
        <v>0.29599999999999999</v>
      </c>
      <c r="K44">
        <v>0.251</v>
      </c>
      <c r="L44">
        <v>0.19900000000000001</v>
      </c>
      <c r="M44">
        <v>0.16600000000000001</v>
      </c>
      <c r="N44">
        <v>0.13800000000000001</v>
      </c>
      <c r="O44">
        <v>0.12186</v>
      </c>
      <c r="P44" t="s">
        <v>10</v>
      </c>
      <c r="Q44" t="str">
        <f>VLOOKUP(A44,types,3)</f>
        <v>zware zavel</v>
      </c>
      <c r="R44">
        <f t="shared" ref="R44:R46" si="116">0*C44</f>
        <v>0</v>
      </c>
      <c r="S44">
        <f t="shared" si="104"/>
        <v>0</v>
      </c>
      <c r="T44">
        <f t="shared" si="105"/>
        <v>0</v>
      </c>
      <c r="U44">
        <f t="shared" si="106"/>
        <v>0</v>
      </c>
      <c r="V44">
        <f t="shared" si="107"/>
        <v>0</v>
      </c>
      <c r="W44">
        <f t="shared" si="108"/>
        <v>0</v>
      </c>
      <c r="X44">
        <f t="shared" si="109"/>
        <v>0</v>
      </c>
      <c r="Y44">
        <f t="shared" si="110"/>
        <v>0</v>
      </c>
      <c r="Z44">
        <f t="shared" si="111"/>
        <v>0</v>
      </c>
      <c r="AA44">
        <f t="shared" si="112"/>
        <v>0</v>
      </c>
      <c r="AB44">
        <f t="shared" si="113"/>
        <v>0</v>
      </c>
      <c r="AC44">
        <f t="shared" si="114"/>
        <v>0</v>
      </c>
      <c r="AD44">
        <f t="shared" si="115"/>
        <v>0</v>
      </c>
    </row>
    <row r="45" spans="1:30" x14ac:dyDescent="0.2">
      <c r="A45" t="s">
        <v>68</v>
      </c>
      <c r="B45" t="s">
        <v>126</v>
      </c>
      <c r="C45">
        <v>0</v>
      </c>
      <c r="D45">
        <v>8.6</v>
      </c>
      <c r="E45">
        <v>16.600000000000001</v>
      </c>
      <c r="F45">
        <v>24.6</v>
      </c>
      <c r="G45">
        <v>37</v>
      </c>
      <c r="H45">
        <v>62.6</v>
      </c>
      <c r="I45">
        <v>103</v>
      </c>
      <c r="J45">
        <v>128.19999999999999</v>
      </c>
      <c r="K45">
        <v>144.6</v>
      </c>
      <c r="L45">
        <v>156.30000000000001</v>
      </c>
      <c r="M45">
        <v>160.69999999999999</v>
      </c>
      <c r="N45">
        <v>163.1</v>
      </c>
      <c r="O45">
        <v>164</v>
      </c>
      <c r="P45" t="s">
        <v>10</v>
      </c>
      <c r="Q45" t="str">
        <f>VLOOKUP(A45,types,3)</f>
        <v>zware zavel</v>
      </c>
      <c r="R45">
        <f t="shared" si="116"/>
        <v>0</v>
      </c>
      <c r="S45">
        <f t="shared" si="104"/>
        <v>0</v>
      </c>
      <c r="T45">
        <f t="shared" si="105"/>
        <v>0</v>
      </c>
      <c r="U45">
        <f t="shared" si="106"/>
        <v>0</v>
      </c>
      <c r="V45">
        <f t="shared" si="107"/>
        <v>0</v>
      </c>
      <c r="W45">
        <f t="shared" si="108"/>
        <v>0</v>
      </c>
      <c r="X45">
        <f t="shared" si="109"/>
        <v>0</v>
      </c>
      <c r="Y45">
        <f t="shared" si="110"/>
        <v>0</v>
      </c>
      <c r="Z45">
        <f t="shared" si="111"/>
        <v>0</v>
      </c>
      <c r="AA45">
        <f t="shared" si="112"/>
        <v>0</v>
      </c>
      <c r="AB45">
        <f t="shared" si="113"/>
        <v>0</v>
      </c>
      <c r="AC45">
        <f t="shared" si="114"/>
        <v>0</v>
      </c>
      <c r="AD45">
        <f t="shared" si="115"/>
        <v>0</v>
      </c>
    </row>
    <row r="46" spans="1:30" x14ac:dyDescent="0.2">
      <c r="A46" t="s">
        <v>68</v>
      </c>
      <c r="B46" t="s">
        <v>111</v>
      </c>
      <c r="C46">
        <v>0</v>
      </c>
      <c r="D46">
        <v>7.6</v>
      </c>
      <c r="E46">
        <v>14.2</v>
      </c>
      <c r="F46">
        <v>20.5</v>
      </c>
      <c r="G46">
        <v>29.8</v>
      </c>
      <c r="H46">
        <v>47</v>
      </c>
      <c r="I46">
        <v>70.7</v>
      </c>
      <c r="J46">
        <v>84</v>
      </c>
      <c r="K46">
        <v>92.4</v>
      </c>
      <c r="L46">
        <v>98.2</v>
      </c>
      <c r="M46">
        <v>100.4</v>
      </c>
      <c r="N46">
        <v>101.6</v>
      </c>
      <c r="O46">
        <v>102.1</v>
      </c>
      <c r="P46" t="s">
        <v>10</v>
      </c>
      <c r="Q46" t="str">
        <f>VLOOKUP(A46,types,3)</f>
        <v>zware zavel</v>
      </c>
      <c r="R46">
        <f t="shared" si="116"/>
        <v>0</v>
      </c>
      <c r="S46">
        <f t="shared" si="104"/>
        <v>0</v>
      </c>
      <c r="T46">
        <f t="shared" si="105"/>
        <v>0</v>
      </c>
      <c r="U46">
        <f t="shared" si="106"/>
        <v>0</v>
      </c>
      <c r="V46">
        <f t="shared" si="107"/>
        <v>0</v>
      </c>
      <c r="W46">
        <f t="shared" si="108"/>
        <v>0</v>
      </c>
      <c r="X46">
        <f t="shared" si="109"/>
        <v>0</v>
      </c>
      <c r="Y46">
        <f t="shared" si="110"/>
        <v>0</v>
      </c>
      <c r="Z46">
        <f t="shared" si="111"/>
        <v>0</v>
      </c>
      <c r="AA46">
        <f t="shared" si="112"/>
        <v>0</v>
      </c>
      <c r="AB46">
        <f t="shared" si="113"/>
        <v>0</v>
      </c>
      <c r="AC46">
        <f t="shared" si="114"/>
        <v>0</v>
      </c>
      <c r="AD46">
        <f t="shared" si="115"/>
        <v>0</v>
      </c>
    </row>
    <row r="47" spans="1:30" x14ac:dyDescent="0.2">
      <c r="A47" t="s">
        <v>23</v>
      </c>
    </row>
    <row r="48" spans="1:30" x14ac:dyDescent="0.2">
      <c r="A48" t="s">
        <v>13</v>
      </c>
      <c r="B48" t="s">
        <v>121</v>
      </c>
      <c r="C48">
        <v>3.83</v>
      </c>
      <c r="D48">
        <v>0.23</v>
      </c>
      <c r="E48">
        <v>0.12</v>
      </c>
      <c r="F48">
        <v>7.0000000000000007E-2</v>
      </c>
      <c r="G48">
        <v>3.5700000000000003E-2</v>
      </c>
      <c r="H48">
        <v>1.01E-2</v>
      </c>
      <c r="I48">
        <v>1.2600000000000001E-3</v>
      </c>
      <c r="J48">
        <v>2.0900000000000001E-4</v>
      </c>
      <c r="K48">
        <v>3.1099999999999997E-5</v>
      </c>
      <c r="L48">
        <v>2.34E-6</v>
      </c>
      <c r="M48">
        <v>3.2099999999999998E-7</v>
      </c>
      <c r="N48">
        <v>4.36E-8</v>
      </c>
      <c r="O48">
        <v>1.1199999999999999E-8</v>
      </c>
      <c r="P48" t="s">
        <v>23</v>
      </c>
      <c r="Q48" t="str">
        <f>VLOOKUP(A48,types,3)</f>
        <v>lichte klei</v>
      </c>
      <c r="R48">
        <f>0*C48</f>
        <v>0</v>
      </c>
      <c r="S48">
        <f t="shared" ref="S48:S51" si="117">0*D48</f>
        <v>0</v>
      </c>
      <c r="T48">
        <f t="shared" ref="T48:T51" si="118">0*E48</f>
        <v>0</v>
      </c>
      <c r="U48">
        <f t="shared" ref="U48:U51" si="119">0*F48</f>
        <v>0</v>
      </c>
      <c r="V48">
        <f t="shared" ref="V48:V51" si="120">0*G48</f>
        <v>0</v>
      </c>
      <c r="W48">
        <f t="shared" ref="W48:W51" si="121">0*H48</f>
        <v>0</v>
      </c>
      <c r="X48">
        <f t="shared" ref="X48:X51" si="122">0*I48</f>
        <v>0</v>
      </c>
      <c r="Y48">
        <f t="shared" ref="Y48:Y51" si="123">0*J48</f>
        <v>0</v>
      </c>
      <c r="Z48">
        <f t="shared" ref="Z48:Z51" si="124">0*K48</f>
        <v>0</v>
      </c>
      <c r="AA48">
        <f t="shared" ref="AA48:AA51" si="125">0*L48</f>
        <v>0</v>
      </c>
      <c r="AB48">
        <f t="shared" ref="AB48:AB51" si="126">0*M48</f>
        <v>0</v>
      </c>
      <c r="AC48">
        <f t="shared" ref="AC48:AC51" si="127">0*N48</f>
        <v>0</v>
      </c>
      <c r="AD48">
        <f t="shared" ref="AD48:AD51" si="128">0*O48</f>
        <v>0</v>
      </c>
    </row>
    <row r="49" spans="1:30" x14ac:dyDescent="0.2">
      <c r="A49" t="s">
        <v>13</v>
      </c>
      <c r="B49" t="s">
        <v>127</v>
      </c>
      <c r="C49">
        <v>0.44800000000000001</v>
      </c>
      <c r="D49">
        <v>0.443</v>
      </c>
      <c r="E49">
        <v>0.438</v>
      </c>
      <c r="F49">
        <v>0.433</v>
      </c>
      <c r="G49">
        <v>0.42399999999999999</v>
      </c>
      <c r="H49">
        <v>0.40600000000000003</v>
      </c>
      <c r="I49">
        <v>0.374</v>
      </c>
      <c r="J49">
        <v>0.34599999999999997</v>
      </c>
      <c r="K49">
        <v>0.318</v>
      </c>
      <c r="L49">
        <v>0.28299999999999997</v>
      </c>
      <c r="M49">
        <v>0.25900000000000001</v>
      </c>
      <c r="N49">
        <v>0.23699999999999999</v>
      </c>
      <c r="O49">
        <v>0.22316</v>
      </c>
      <c r="P49" t="s">
        <v>23</v>
      </c>
      <c r="Q49" t="str">
        <f>VLOOKUP(A49,types,3)</f>
        <v>lichte klei</v>
      </c>
      <c r="R49">
        <f t="shared" ref="R49:R51" si="129">0*C49</f>
        <v>0</v>
      </c>
      <c r="S49">
        <f t="shared" si="117"/>
        <v>0</v>
      </c>
      <c r="T49">
        <f t="shared" si="118"/>
        <v>0</v>
      </c>
      <c r="U49">
        <f t="shared" si="119"/>
        <v>0</v>
      </c>
      <c r="V49">
        <f t="shared" si="120"/>
        <v>0</v>
      </c>
      <c r="W49">
        <f t="shared" si="121"/>
        <v>0</v>
      </c>
      <c r="X49">
        <f t="shared" si="122"/>
        <v>0</v>
      </c>
      <c r="Y49">
        <f t="shared" si="123"/>
        <v>0</v>
      </c>
      <c r="Z49">
        <f t="shared" si="124"/>
        <v>0</v>
      </c>
      <c r="AA49">
        <f t="shared" si="125"/>
        <v>0</v>
      </c>
      <c r="AB49">
        <f t="shared" si="126"/>
        <v>0</v>
      </c>
      <c r="AC49">
        <f t="shared" si="127"/>
        <v>0</v>
      </c>
      <c r="AD49">
        <f t="shared" si="128"/>
        <v>0</v>
      </c>
    </row>
    <row r="50" spans="1:30" x14ac:dyDescent="0.2">
      <c r="A50" t="s">
        <v>13</v>
      </c>
      <c r="B50" t="s">
        <v>126</v>
      </c>
      <c r="C50">
        <v>0</v>
      </c>
      <c r="D50">
        <v>7.9</v>
      </c>
      <c r="E50">
        <v>14.1</v>
      </c>
      <c r="F50">
        <v>19.399999999999999</v>
      </c>
      <c r="G50">
        <v>25.7</v>
      </c>
      <c r="H50">
        <v>33.700000000000003</v>
      </c>
      <c r="I50">
        <v>39.1</v>
      </c>
      <c r="J50">
        <v>40.4</v>
      </c>
      <c r="K50">
        <v>40.799999999999997</v>
      </c>
      <c r="L50">
        <v>41</v>
      </c>
      <c r="M50">
        <v>41</v>
      </c>
      <c r="N50">
        <v>41</v>
      </c>
      <c r="O50">
        <v>41</v>
      </c>
      <c r="P50" t="s">
        <v>23</v>
      </c>
      <c r="Q50" t="str">
        <f>VLOOKUP(A50,types,3)</f>
        <v>lichte klei</v>
      </c>
      <c r="R50">
        <f t="shared" si="129"/>
        <v>0</v>
      </c>
      <c r="S50">
        <f t="shared" si="117"/>
        <v>0</v>
      </c>
      <c r="T50">
        <f t="shared" si="118"/>
        <v>0</v>
      </c>
      <c r="U50">
        <f t="shared" si="119"/>
        <v>0</v>
      </c>
      <c r="V50">
        <f t="shared" si="120"/>
        <v>0</v>
      </c>
      <c r="W50">
        <f t="shared" si="121"/>
        <v>0</v>
      </c>
      <c r="X50">
        <f t="shared" si="122"/>
        <v>0</v>
      </c>
      <c r="Y50">
        <f t="shared" si="123"/>
        <v>0</v>
      </c>
      <c r="Z50">
        <f t="shared" si="124"/>
        <v>0</v>
      </c>
      <c r="AA50">
        <f t="shared" si="125"/>
        <v>0</v>
      </c>
      <c r="AB50">
        <f t="shared" si="126"/>
        <v>0</v>
      </c>
      <c r="AC50">
        <f t="shared" si="127"/>
        <v>0</v>
      </c>
      <c r="AD50">
        <f t="shared" si="128"/>
        <v>0</v>
      </c>
    </row>
    <row r="51" spans="1:30" x14ac:dyDescent="0.2">
      <c r="A51" t="s">
        <v>13</v>
      </c>
      <c r="B51" t="s">
        <v>111</v>
      </c>
      <c r="C51">
        <v>0</v>
      </c>
      <c r="D51">
        <v>6.6</v>
      </c>
      <c r="E51">
        <v>11.1</v>
      </c>
      <c r="F51">
        <v>14.6</v>
      </c>
      <c r="G51">
        <v>18.399999999999999</v>
      </c>
      <c r="H51">
        <v>22.8</v>
      </c>
      <c r="I51">
        <v>25.5</v>
      </c>
      <c r="J51">
        <v>26.2</v>
      </c>
      <c r="K51">
        <v>26.4</v>
      </c>
      <c r="L51">
        <v>26.5</v>
      </c>
      <c r="M51">
        <v>26.5</v>
      </c>
      <c r="N51">
        <v>26.5</v>
      </c>
      <c r="O51">
        <v>26.5</v>
      </c>
      <c r="P51" t="s">
        <v>23</v>
      </c>
      <c r="Q51" t="str">
        <f>VLOOKUP(A51,types,3)</f>
        <v>lichte klei</v>
      </c>
      <c r="R51">
        <f t="shared" si="129"/>
        <v>0</v>
      </c>
      <c r="S51">
        <f t="shared" si="117"/>
        <v>0</v>
      </c>
      <c r="T51">
        <f t="shared" si="118"/>
        <v>0</v>
      </c>
      <c r="U51">
        <f t="shared" si="119"/>
        <v>0</v>
      </c>
      <c r="V51">
        <f t="shared" si="120"/>
        <v>0</v>
      </c>
      <c r="W51">
        <f t="shared" si="121"/>
        <v>0</v>
      </c>
      <c r="X51">
        <f t="shared" si="122"/>
        <v>0</v>
      </c>
      <c r="Y51">
        <f t="shared" si="123"/>
        <v>0</v>
      </c>
      <c r="Z51">
        <f t="shared" si="124"/>
        <v>0</v>
      </c>
      <c r="AA51">
        <f t="shared" si="125"/>
        <v>0</v>
      </c>
      <c r="AB51">
        <f t="shared" si="126"/>
        <v>0</v>
      </c>
      <c r="AC51">
        <f t="shared" si="127"/>
        <v>0</v>
      </c>
      <c r="AD51">
        <f t="shared" si="128"/>
        <v>0</v>
      </c>
    </row>
    <row r="53" spans="1:30" x14ac:dyDescent="0.2">
      <c r="A53" t="s">
        <v>14</v>
      </c>
      <c r="B53" t="s">
        <v>121</v>
      </c>
      <c r="C53">
        <v>6.31</v>
      </c>
      <c r="D53">
        <v>0.19</v>
      </c>
      <c r="E53">
        <v>0.1</v>
      </c>
      <c r="F53">
        <v>0.06</v>
      </c>
      <c r="G53">
        <v>3.4599999999999999E-2</v>
      </c>
      <c r="H53">
        <v>1.3599999999999999E-2</v>
      </c>
      <c r="I53">
        <v>3.5000000000000001E-3</v>
      </c>
      <c r="J53">
        <v>1.1900000000000001E-3</v>
      </c>
      <c r="K53">
        <v>3.9399999999999998E-4</v>
      </c>
      <c r="L53">
        <v>9.0299999999999999E-5</v>
      </c>
      <c r="M53">
        <v>2.9499999999999999E-5</v>
      </c>
      <c r="N53">
        <v>9.5899999999999997E-6</v>
      </c>
      <c r="O53">
        <v>4.4800000000000003E-6</v>
      </c>
      <c r="P53" t="s">
        <v>23</v>
      </c>
      <c r="Q53" t="str">
        <f>VLOOKUP(A53,types,3)</f>
        <v>matig zware klei</v>
      </c>
      <c r="R53">
        <f>0*C53</f>
        <v>0</v>
      </c>
      <c r="S53">
        <f t="shared" ref="S53:S56" si="130">0*D53</f>
        <v>0</v>
      </c>
      <c r="T53">
        <f t="shared" ref="T53:T56" si="131">0*E53</f>
        <v>0</v>
      </c>
      <c r="U53">
        <f t="shared" ref="U53:U56" si="132">0*F53</f>
        <v>0</v>
      </c>
      <c r="V53">
        <f t="shared" ref="V53:V56" si="133">0*G53</f>
        <v>0</v>
      </c>
      <c r="W53">
        <f t="shared" ref="W53:W56" si="134">0*H53</f>
        <v>0</v>
      </c>
      <c r="X53">
        <f t="shared" ref="X53:X56" si="135">0*I53</f>
        <v>0</v>
      </c>
      <c r="Y53">
        <f t="shared" ref="Y53:Y56" si="136">0*J53</f>
        <v>0</v>
      </c>
      <c r="Z53">
        <f t="shared" ref="Z53:Z56" si="137">0*K53</f>
        <v>0</v>
      </c>
      <c r="AA53">
        <f t="shared" ref="AA53:AA56" si="138">0*L53</f>
        <v>0</v>
      </c>
      <c r="AB53">
        <f t="shared" ref="AB53:AB56" si="139">0*M53</f>
        <v>0</v>
      </c>
      <c r="AC53">
        <f t="shared" ref="AC53:AC56" si="140">0*N53</f>
        <v>0</v>
      </c>
      <c r="AD53">
        <f t="shared" ref="AD53:AD56" si="141">0*O53</f>
        <v>0</v>
      </c>
    </row>
    <row r="54" spans="1:30" x14ac:dyDescent="0.2">
      <c r="A54" t="s">
        <v>14</v>
      </c>
      <c r="B54" t="s">
        <v>127</v>
      </c>
      <c r="C54">
        <v>0.59099999999999997</v>
      </c>
      <c r="D54">
        <v>0.58199999999999996</v>
      </c>
      <c r="E54">
        <v>0.57299999999999995</v>
      </c>
      <c r="F54">
        <v>0.56399999999999995</v>
      </c>
      <c r="G54">
        <v>0.55100000000000005</v>
      </c>
      <c r="H54">
        <v>0.52700000000000002</v>
      </c>
      <c r="I54">
        <v>0.48899999999999999</v>
      </c>
      <c r="J54">
        <v>0.45800000000000002</v>
      </c>
      <c r="K54">
        <v>0.42699999999999999</v>
      </c>
      <c r="L54">
        <v>0.38900000000000001</v>
      </c>
      <c r="M54">
        <v>0.36299999999999999</v>
      </c>
      <c r="N54">
        <v>0.33700000000000002</v>
      </c>
      <c r="O54">
        <v>0.32147999999999999</v>
      </c>
      <c r="P54" t="s">
        <v>23</v>
      </c>
      <c r="Q54" t="str">
        <f>VLOOKUP(A54,types,3)</f>
        <v>matig zware klei</v>
      </c>
      <c r="R54">
        <f t="shared" ref="R54:R56" si="142">0*C54</f>
        <v>0</v>
      </c>
      <c r="S54">
        <f t="shared" si="130"/>
        <v>0</v>
      </c>
      <c r="T54">
        <f t="shared" si="131"/>
        <v>0</v>
      </c>
      <c r="U54">
        <f t="shared" si="132"/>
        <v>0</v>
      </c>
      <c r="V54">
        <f t="shared" si="133"/>
        <v>0</v>
      </c>
      <c r="W54">
        <f t="shared" si="134"/>
        <v>0</v>
      </c>
      <c r="X54">
        <f t="shared" si="135"/>
        <v>0</v>
      </c>
      <c r="Y54">
        <f t="shared" si="136"/>
        <v>0</v>
      </c>
      <c r="Z54">
        <f t="shared" si="137"/>
        <v>0</v>
      </c>
      <c r="AA54">
        <f t="shared" si="138"/>
        <v>0</v>
      </c>
      <c r="AB54">
        <f t="shared" si="139"/>
        <v>0</v>
      </c>
      <c r="AC54">
        <f t="shared" si="140"/>
        <v>0</v>
      </c>
      <c r="AD54">
        <f t="shared" si="141"/>
        <v>0</v>
      </c>
    </row>
    <row r="55" spans="1:30" x14ac:dyDescent="0.2">
      <c r="A55" t="s">
        <v>14</v>
      </c>
      <c r="B55" t="s">
        <v>126</v>
      </c>
      <c r="C55">
        <v>0</v>
      </c>
      <c r="D55">
        <v>7.7</v>
      </c>
      <c r="E55">
        <v>13.4</v>
      </c>
      <c r="F55">
        <v>18.100000000000001</v>
      </c>
      <c r="G55">
        <v>24.1</v>
      </c>
      <c r="H55">
        <v>32.9</v>
      </c>
      <c r="I55">
        <v>42.3</v>
      </c>
      <c r="J55">
        <v>47.2</v>
      </c>
      <c r="K55">
        <v>50.6</v>
      </c>
      <c r="L55">
        <v>53.3</v>
      </c>
      <c r="M55">
        <v>54.6</v>
      </c>
      <c r="N55">
        <v>55.4</v>
      </c>
      <c r="O55">
        <v>55.8</v>
      </c>
      <c r="P55" t="s">
        <v>23</v>
      </c>
      <c r="Q55" t="str">
        <f>VLOOKUP(A55,types,3)</f>
        <v>matig zware klei</v>
      </c>
      <c r="R55">
        <f t="shared" si="142"/>
        <v>0</v>
      </c>
      <c r="S55">
        <f t="shared" si="130"/>
        <v>0</v>
      </c>
      <c r="T55">
        <f t="shared" si="131"/>
        <v>0</v>
      </c>
      <c r="U55">
        <f t="shared" si="132"/>
        <v>0</v>
      </c>
      <c r="V55">
        <f t="shared" si="133"/>
        <v>0</v>
      </c>
      <c r="W55">
        <f t="shared" si="134"/>
        <v>0</v>
      </c>
      <c r="X55">
        <f t="shared" si="135"/>
        <v>0</v>
      </c>
      <c r="Y55">
        <f t="shared" si="136"/>
        <v>0</v>
      </c>
      <c r="Z55">
        <f t="shared" si="137"/>
        <v>0</v>
      </c>
      <c r="AA55">
        <f t="shared" si="138"/>
        <v>0</v>
      </c>
      <c r="AB55">
        <f t="shared" si="139"/>
        <v>0</v>
      </c>
      <c r="AC55">
        <f t="shared" si="140"/>
        <v>0</v>
      </c>
      <c r="AD55">
        <f t="shared" si="141"/>
        <v>0</v>
      </c>
    </row>
    <row r="56" spans="1:30" x14ac:dyDescent="0.2">
      <c r="A56" t="s">
        <v>14</v>
      </c>
      <c r="B56" t="s">
        <v>111</v>
      </c>
      <c r="C56">
        <v>0</v>
      </c>
      <c r="D56">
        <v>6.3</v>
      </c>
      <c r="E56">
        <v>10.3</v>
      </c>
      <c r="F56">
        <v>13.3</v>
      </c>
      <c r="G56">
        <v>16.899999999999999</v>
      </c>
      <c r="H56">
        <v>21.7</v>
      </c>
      <c r="I56">
        <v>26.6</v>
      </c>
      <c r="J56">
        <v>29.1</v>
      </c>
      <c r="K56">
        <v>30.8</v>
      </c>
      <c r="L56">
        <v>32.200000000000003</v>
      </c>
      <c r="M56">
        <v>32.799999999999997</v>
      </c>
      <c r="N56">
        <v>33.200000000000003</v>
      </c>
      <c r="O56">
        <v>33.4</v>
      </c>
      <c r="P56" t="s">
        <v>23</v>
      </c>
      <c r="Q56" t="str">
        <f>VLOOKUP(A56,types,3)</f>
        <v>matig zware klei</v>
      </c>
      <c r="R56">
        <f t="shared" si="142"/>
        <v>0</v>
      </c>
      <c r="S56">
        <f t="shared" si="130"/>
        <v>0</v>
      </c>
      <c r="T56">
        <f t="shared" si="131"/>
        <v>0</v>
      </c>
      <c r="U56">
        <f t="shared" si="132"/>
        <v>0</v>
      </c>
      <c r="V56">
        <f t="shared" si="133"/>
        <v>0</v>
      </c>
      <c r="W56">
        <f t="shared" si="134"/>
        <v>0</v>
      </c>
      <c r="X56">
        <f t="shared" si="135"/>
        <v>0</v>
      </c>
      <c r="Y56">
        <f t="shared" si="136"/>
        <v>0</v>
      </c>
      <c r="Z56">
        <f t="shared" si="137"/>
        <v>0</v>
      </c>
      <c r="AA56">
        <f t="shared" si="138"/>
        <v>0</v>
      </c>
      <c r="AB56">
        <f t="shared" si="139"/>
        <v>0</v>
      </c>
      <c r="AC56">
        <f t="shared" si="140"/>
        <v>0</v>
      </c>
      <c r="AD56">
        <f t="shared" si="141"/>
        <v>0</v>
      </c>
    </row>
    <row r="58" spans="1:30" x14ac:dyDescent="0.2">
      <c r="A58" t="s">
        <v>15</v>
      </c>
      <c r="B58" t="s">
        <v>121</v>
      </c>
      <c r="C58">
        <v>2.25</v>
      </c>
      <c r="D58">
        <v>0.06</v>
      </c>
      <c r="E58">
        <v>0.03</v>
      </c>
      <c r="F58">
        <v>0.02</v>
      </c>
      <c r="G58">
        <v>1.17E-2</v>
      </c>
      <c r="H58">
        <v>4.5100000000000001E-3</v>
      </c>
      <c r="I58">
        <v>1.09E-3</v>
      </c>
      <c r="J58">
        <v>3.4099999999999999E-4</v>
      </c>
      <c r="K58">
        <v>1.03E-4</v>
      </c>
      <c r="L58">
        <v>2.0800000000000001E-5</v>
      </c>
      <c r="M58">
        <v>6.1099999999999999E-6</v>
      </c>
      <c r="N58">
        <v>1.79E-6</v>
      </c>
      <c r="O58">
        <v>7.7899999999999997E-7</v>
      </c>
      <c r="P58" t="s">
        <v>23</v>
      </c>
      <c r="Q58" t="str">
        <f>VLOOKUP(A58,types,3)</f>
        <v>zeer zware klei</v>
      </c>
      <c r="R58">
        <f>0*C58</f>
        <v>0</v>
      </c>
      <c r="S58">
        <f t="shared" ref="S58:S61" si="143">0*D58</f>
        <v>0</v>
      </c>
      <c r="T58">
        <f t="shared" ref="T58:T61" si="144">0*E58</f>
        <v>0</v>
      </c>
      <c r="U58">
        <f t="shared" ref="U58:U61" si="145">0*F58</f>
        <v>0</v>
      </c>
      <c r="V58">
        <f t="shared" ref="V58:V61" si="146">0*G58</f>
        <v>0</v>
      </c>
      <c r="W58">
        <f t="shared" ref="W58:W61" si="147">0*H58</f>
        <v>0</v>
      </c>
      <c r="X58">
        <f t="shared" ref="X58:X61" si="148">0*I58</f>
        <v>0</v>
      </c>
      <c r="Y58">
        <f t="shared" ref="Y58:Y61" si="149">0*J58</f>
        <v>0</v>
      </c>
      <c r="Z58">
        <f t="shared" ref="Z58:Z61" si="150">0*K58</f>
        <v>0</v>
      </c>
      <c r="AA58">
        <f t="shared" ref="AA58:AA61" si="151">0*L58</f>
        <v>0</v>
      </c>
      <c r="AB58">
        <f t="shared" ref="AB58:AB61" si="152">0*M58</f>
        <v>0</v>
      </c>
      <c r="AC58">
        <f t="shared" ref="AC58:AC61" si="153">0*N58</f>
        <v>0</v>
      </c>
      <c r="AD58">
        <f t="shared" ref="AD58:AD61" si="154">0*O58</f>
        <v>0</v>
      </c>
    </row>
    <row r="59" spans="1:30" x14ac:dyDescent="0.2">
      <c r="A59" t="s">
        <v>15</v>
      </c>
      <c r="B59" t="s">
        <v>127</v>
      </c>
      <c r="C59">
        <v>0.53</v>
      </c>
      <c r="D59">
        <v>0.52400000000000002</v>
      </c>
      <c r="E59">
        <v>0.51900000000000002</v>
      </c>
      <c r="F59">
        <v>0.51300000000000001</v>
      </c>
      <c r="G59">
        <v>0.505</v>
      </c>
      <c r="H59">
        <v>0.48799999999999999</v>
      </c>
      <c r="I59">
        <v>0.46</v>
      </c>
      <c r="J59">
        <v>0.436</v>
      </c>
      <c r="K59">
        <v>0.41099999999999998</v>
      </c>
      <c r="L59">
        <v>0.38</v>
      </c>
      <c r="M59">
        <v>0.35799999999999998</v>
      </c>
      <c r="N59">
        <v>0.33700000000000002</v>
      </c>
      <c r="O59">
        <v>0.32333000000000001</v>
      </c>
      <c r="P59" t="s">
        <v>23</v>
      </c>
      <c r="Q59" t="str">
        <f>VLOOKUP(A59,types,3)</f>
        <v>zeer zware klei</v>
      </c>
      <c r="R59">
        <f t="shared" ref="R59:R61" si="155">0*C59</f>
        <v>0</v>
      </c>
      <c r="S59">
        <f t="shared" si="143"/>
        <v>0</v>
      </c>
      <c r="T59">
        <f t="shared" si="144"/>
        <v>0</v>
      </c>
      <c r="U59">
        <f t="shared" si="145"/>
        <v>0</v>
      </c>
      <c r="V59">
        <f t="shared" si="146"/>
        <v>0</v>
      </c>
      <c r="W59">
        <f t="shared" si="147"/>
        <v>0</v>
      </c>
      <c r="X59">
        <f t="shared" si="148"/>
        <v>0</v>
      </c>
      <c r="Y59">
        <f t="shared" si="149"/>
        <v>0</v>
      </c>
      <c r="Z59">
        <f t="shared" si="150"/>
        <v>0</v>
      </c>
      <c r="AA59">
        <f t="shared" si="151"/>
        <v>0</v>
      </c>
      <c r="AB59">
        <f t="shared" si="152"/>
        <v>0</v>
      </c>
      <c r="AC59">
        <f t="shared" si="153"/>
        <v>0</v>
      </c>
      <c r="AD59">
        <f t="shared" si="154"/>
        <v>0</v>
      </c>
    </row>
    <row r="60" spans="1:30" x14ac:dyDescent="0.2">
      <c r="A60" t="s">
        <v>15</v>
      </c>
      <c r="B60" t="s">
        <v>126</v>
      </c>
      <c r="C60">
        <v>0</v>
      </c>
      <c r="D60">
        <v>5.2</v>
      </c>
      <c r="E60">
        <v>8.1999999999999993</v>
      </c>
      <c r="F60">
        <v>10.5</v>
      </c>
      <c r="G60">
        <v>13</v>
      </c>
      <c r="H60">
        <v>16.399999999999999</v>
      </c>
      <c r="I60">
        <v>19.600000000000001</v>
      </c>
      <c r="J60">
        <v>21.1</v>
      </c>
      <c r="K60">
        <v>22</v>
      </c>
      <c r="L60">
        <v>22.7</v>
      </c>
      <c r="M60">
        <v>23</v>
      </c>
      <c r="N60">
        <v>23.1</v>
      </c>
      <c r="O60">
        <v>23.2</v>
      </c>
      <c r="P60" t="s">
        <v>23</v>
      </c>
      <c r="Q60" t="str">
        <f>VLOOKUP(A60,types,3)</f>
        <v>zeer zware klei</v>
      </c>
      <c r="R60">
        <f t="shared" si="155"/>
        <v>0</v>
      </c>
      <c r="S60">
        <f t="shared" si="143"/>
        <v>0</v>
      </c>
      <c r="T60">
        <f t="shared" si="144"/>
        <v>0</v>
      </c>
      <c r="U60">
        <f t="shared" si="145"/>
        <v>0</v>
      </c>
      <c r="V60">
        <f t="shared" si="146"/>
        <v>0</v>
      </c>
      <c r="W60">
        <f t="shared" si="147"/>
        <v>0</v>
      </c>
      <c r="X60">
        <f t="shared" si="148"/>
        <v>0</v>
      </c>
      <c r="Y60">
        <f t="shared" si="149"/>
        <v>0</v>
      </c>
      <c r="Z60">
        <f t="shared" si="150"/>
        <v>0</v>
      </c>
      <c r="AA60">
        <f t="shared" si="151"/>
        <v>0</v>
      </c>
      <c r="AB60">
        <f t="shared" si="152"/>
        <v>0</v>
      </c>
      <c r="AC60">
        <f t="shared" si="153"/>
        <v>0</v>
      </c>
      <c r="AD60">
        <f t="shared" si="154"/>
        <v>0</v>
      </c>
    </row>
    <row r="61" spans="1:30" x14ac:dyDescent="0.2">
      <c r="A61" t="s">
        <v>15</v>
      </c>
      <c r="B61" t="s">
        <v>111</v>
      </c>
      <c r="C61">
        <v>0</v>
      </c>
      <c r="D61">
        <v>3.6</v>
      </c>
      <c r="E61">
        <v>5.4</v>
      </c>
      <c r="F61">
        <v>6.6</v>
      </c>
      <c r="G61">
        <v>8</v>
      </c>
      <c r="H61">
        <v>9.6999999999999993</v>
      </c>
      <c r="I61">
        <v>11.4</v>
      </c>
      <c r="J61">
        <v>12.1</v>
      </c>
      <c r="K61">
        <v>12.6</v>
      </c>
      <c r="L61">
        <v>12.9</v>
      </c>
      <c r="M61">
        <v>13.1</v>
      </c>
      <c r="N61">
        <v>13.1</v>
      </c>
      <c r="O61">
        <v>13.2</v>
      </c>
      <c r="P61" t="s">
        <v>23</v>
      </c>
      <c r="Q61" t="str">
        <f>VLOOKUP(A61,types,3)</f>
        <v>zeer zware klei</v>
      </c>
      <c r="R61">
        <f t="shared" si="155"/>
        <v>0</v>
      </c>
      <c r="S61">
        <f t="shared" si="143"/>
        <v>0</v>
      </c>
      <c r="T61">
        <f t="shared" si="144"/>
        <v>0</v>
      </c>
      <c r="U61">
        <f t="shared" si="145"/>
        <v>0</v>
      </c>
      <c r="V61">
        <f t="shared" si="146"/>
        <v>0</v>
      </c>
      <c r="W61">
        <f t="shared" si="147"/>
        <v>0</v>
      </c>
      <c r="X61">
        <f t="shared" si="148"/>
        <v>0</v>
      </c>
      <c r="Y61">
        <f t="shared" si="149"/>
        <v>0</v>
      </c>
      <c r="Z61">
        <f t="shared" si="150"/>
        <v>0</v>
      </c>
      <c r="AA61">
        <f t="shared" si="151"/>
        <v>0</v>
      </c>
      <c r="AB61">
        <f t="shared" si="152"/>
        <v>0</v>
      </c>
      <c r="AC61">
        <f t="shared" si="153"/>
        <v>0</v>
      </c>
      <c r="AD61">
        <f t="shared" si="154"/>
        <v>0</v>
      </c>
    </row>
    <row r="63" spans="1:30" x14ac:dyDescent="0.2">
      <c r="A63" t="s">
        <v>17</v>
      </c>
      <c r="B63" t="s">
        <v>121</v>
      </c>
      <c r="C63">
        <v>29.83</v>
      </c>
      <c r="D63">
        <v>13.34</v>
      </c>
      <c r="E63">
        <v>9.39</v>
      </c>
      <c r="F63">
        <v>6.9</v>
      </c>
      <c r="G63">
        <v>4.46</v>
      </c>
      <c r="H63">
        <v>1.88</v>
      </c>
      <c r="I63">
        <v>0.39100000000000001</v>
      </c>
      <c r="J63">
        <v>9.4700000000000006E-2</v>
      </c>
      <c r="K63">
        <v>2.0799999999999999E-2</v>
      </c>
      <c r="L63">
        <v>2.66E-3</v>
      </c>
      <c r="M63">
        <v>5.5000000000000003E-4</v>
      </c>
      <c r="N63">
        <v>1.1400000000000001E-4</v>
      </c>
      <c r="O63">
        <v>3.8899999999999997E-5</v>
      </c>
      <c r="P63" t="s">
        <v>16</v>
      </c>
      <c r="Q63" t="str">
        <f>VLOOKUP(A63,types,3)</f>
        <v>zandige leem</v>
      </c>
      <c r="R63">
        <f>0*C63</f>
        <v>0</v>
      </c>
      <c r="S63">
        <f t="shared" ref="S63:S66" si="156">0*D63</f>
        <v>0</v>
      </c>
      <c r="T63">
        <f t="shared" ref="T63:T66" si="157">0*E63</f>
        <v>0</v>
      </c>
      <c r="U63">
        <f t="shared" ref="U63:U66" si="158">0*F63</f>
        <v>0</v>
      </c>
      <c r="V63">
        <f t="shared" ref="V63:V66" si="159">0*G63</f>
        <v>0</v>
      </c>
      <c r="W63">
        <f t="shared" ref="W63:W66" si="160">0*H63</f>
        <v>0</v>
      </c>
      <c r="X63">
        <f t="shared" ref="X63:X66" si="161">0*I63</f>
        <v>0</v>
      </c>
      <c r="Y63">
        <f t="shared" ref="Y63:Y66" si="162">0*J63</f>
        <v>0</v>
      </c>
      <c r="Z63">
        <f t="shared" ref="Z63:Z66" si="163">0*K63</f>
        <v>0</v>
      </c>
      <c r="AA63">
        <f t="shared" ref="AA63:AA66" si="164">0*L63</f>
        <v>0</v>
      </c>
      <c r="AB63">
        <f t="shared" ref="AB63:AB66" si="165">0*M63</f>
        <v>0</v>
      </c>
      <c r="AC63">
        <f t="shared" ref="AC63:AC66" si="166">0*N63</f>
        <v>0</v>
      </c>
      <c r="AD63">
        <f t="shared" ref="AD63:AD66" si="167">0*O63</f>
        <v>0</v>
      </c>
    </row>
    <row r="64" spans="1:30" x14ac:dyDescent="0.2">
      <c r="A64" t="s">
        <v>17</v>
      </c>
      <c r="B64" t="s">
        <v>127</v>
      </c>
      <c r="C64">
        <v>0.41599999999999998</v>
      </c>
      <c r="D64">
        <v>0.41299999999999998</v>
      </c>
      <c r="E64">
        <v>0.40699999999999997</v>
      </c>
      <c r="F64">
        <v>0.4</v>
      </c>
      <c r="G64">
        <v>0.38600000000000001</v>
      </c>
      <c r="H64">
        <v>0.35099999999999998</v>
      </c>
      <c r="I64">
        <v>0.27900000000000003</v>
      </c>
      <c r="J64">
        <v>0.22</v>
      </c>
      <c r="K64">
        <v>0.16800000000000001</v>
      </c>
      <c r="L64">
        <v>0.11700000000000001</v>
      </c>
      <c r="M64">
        <v>8.8999999999999996E-2</v>
      </c>
      <c r="N64">
        <v>6.9000000000000006E-2</v>
      </c>
      <c r="O64">
        <v>5.7770000000000002E-2</v>
      </c>
      <c r="P64" t="s">
        <v>16</v>
      </c>
      <c r="Q64" t="str">
        <f>VLOOKUP(A64,types,3)</f>
        <v>zandige leem</v>
      </c>
      <c r="R64">
        <f t="shared" ref="R64:R66" si="168">0*C64</f>
        <v>0</v>
      </c>
      <c r="S64">
        <f t="shared" si="156"/>
        <v>0</v>
      </c>
      <c r="T64">
        <f t="shared" si="157"/>
        <v>0</v>
      </c>
      <c r="U64">
        <f t="shared" si="158"/>
        <v>0</v>
      </c>
      <c r="V64">
        <f t="shared" si="159"/>
        <v>0</v>
      </c>
      <c r="W64">
        <f t="shared" si="160"/>
        <v>0</v>
      </c>
      <c r="X64">
        <f t="shared" si="161"/>
        <v>0</v>
      </c>
      <c r="Y64">
        <f t="shared" si="162"/>
        <v>0</v>
      </c>
      <c r="Z64">
        <f t="shared" si="163"/>
        <v>0</v>
      </c>
      <c r="AA64">
        <f t="shared" si="164"/>
        <v>0</v>
      </c>
      <c r="AB64">
        <f t="shared" si="165"/>
        <v>0</v>
      </c>
      <c r="AC64">
        <f t="shared" si="166"/>
        <v>0</v>
      </c>
      <c r="AD64">
        <f t="shared" si="167"/>
        <v>0</v>
      </c>
    </row>
    <row r="65" spans="1:30" x14ac:dyDescent="0.2">
      <c r="A65" t="s">
        <v>17</v>
      </c>
      <c r="B65" t="s">
        <v>126</v>
      </c>
      <c r="C65">
        <v>0</v>
      </c>
      <c r="D65">
        <v>9.9</v>
      </c>
      <c r="E65">
        <v>19.899999999999999</v>
      </c>
      <c r="F65">
        <v>30.7</v>
      </c>
      <c r="G65">
        <v>49.4</v>
      </c>
      <c r="H65">
        <v>97.6</v>
      </c>
      <c r="I65">
        <v>229.6</v>
      </c>
      <c r="J65">
        <v>388.8</v>
      </c>
      <c r="K65">
        <v>537.9</v>
      </c>
      <c r="L65">
        <v>641.4</v>
      </c>
      <c r="M65">
        <v>671.6</v>
      </c>
      <c r="N65">
        <v>684.2</v>
      </c>
      <c r="O65">
        <v>688.2</v>
      </c>
      <c r="P65" t="s">
        <v>16</v>
      </c>
      <c r="Q65" t="str">
        <f>VLOOKUP(A65,types,3)</f>
        <v>zandige leem</v>
      </c>
      <c r="R65">
        <f t="shared" si="168"/>
        <v>0</v>
      </c>
      <c r="S65">
        <f t="shared" si="156"/>
        <v>0</v>
      </c>
      <c r="T65">
        <f t="shared" si="157"/>
        <v>0</v>
      </c>
      <c r="U65">
        <f t="shared" si="158"/>
        <v>0</v>
      </c>
      <c r="V65">
        <f t="shared" si="159"/>
        <v>0</v>
      </c>
      <c r="W65">
        <f t="shared" si="160"/>
        <v>0</v>
      </c>
      <c r="X65">
        <f t="shared" si="161"/>
        <v>0</v>
      </c>
      <c r="Y65">
        <f t="shared" si="162"/>
        <v>0</v>
      </c>
      <c r="Z65">
        <f t="shared" si="163"/>
        <v>0</v>
      </c>
      <c r="AA65">
        <f t="shared" si="164"/>
        <v>0</v>
      </c>
      <c r="AB65">
        <f t="shared" si="165"/>
        <v>0</v>
      </c>
      <c r="AC65">
        <f t="shared" si="166"/>
        <v>0</v>
      </c>
      <c r="AD65">
        <f t="shared" si="167"/>
        <v>0</v>
      </c>
    </row>
    <row r="66" spans="1:30" x14ac:dyDescent="0.2">
      <c r="A66" t="s">
        <v>17</v>
      </c>
      <c r="B66" t="s">
        <v>111</v>
      </c>
      <c r="C66">
        <v>0</v>
      </c>
      <c r="D66">
        <v>9.9</v>
      </c>
      <c r="E66">
        <v>19.7</v>
      </c>
      <c r="F66">
        <v>30.4</v>
      </c>
      <c r="G66">
        <v>48.8</v>
      </c>
      <c r="H66">
        <v>95.4</v>
      </c>
      <c r="I66">
        <v>213.7</v>
      </c>
      <c r="J66">
        <v>332.1</v>
      </c>
      <c r="K66">
        <v>421.3</v>
      </c>
      <c r="L66">
        <v>475.6</v>
      </c>
      <c r="M66">
        <v>490.8</v>
      </c>
      <c r="N66">
        <v>497.1</v>
      </c>
      <c r="O66">
        <v>499.1</v>
      </c>
      <c r="P66" t="s">
        <v>16</v>
      </c>
      <c r="Q66" t="str">
        <f>VLOOKUP(A66,types,3)</f>
        <v>zandige leem</v>
      </c>
      <c r="R66">
        <f t="shared" si="168"/>
        <v>0</v>
      </c>
      <c r="S66">
        <f t="shared" si="156"/>
        <v>0</v>
      </c>
      <c r="T66">
        <f t="shared" si="157"/>
        <v>0</v>
      </c>
      <c r="U66">
        <f t="shared" si="158"/>
        <v>0</v>
      </c>
      <c r="V66">
        <f t="shared" si="159"/>
        <v>0</v>
      </c>
      <c r="W66">
        <f t="shared" si="160"/>
        <v>0</v>
      </c>
      <c r="X66">
        <f t="shared" si="161"/>
        <v>0</v>
      </c>
      <c r="Y66">
        <f t="shared" si="162"/>
        <v>0</v>
      </c>
      <c r="Z66">
        <f t="shared" si="163"/>
        <v>0</v>
      </c>
      <c r="AA66">
        <f t="shared" si="164"/>
        <v>0</v>
      </c>
      <c r="AB66">
        <f t="shared" si="165"/>
        <v>0</v>
      </c>
      <c r="AC66">
        <f t="shared" si="166"/>
        <v>0</v>
      </c>
      <c r="AD66">
        <f t="shared" si="167"/>
        <v>0</v>
      </c>
    </row>
    <row r="68" spans="1:30" x14ac:dyDescent="0.2">
      <c r="A68" t="s">
        <v>18</v>
      </c>
      <c r="B68" t="s">
        <v>121</v>
      </c>
      <c r="C68">
        <v>0.9</v>
      </c>
      <c r="D68">
        <v>0.31</v>
      </c>
      <c r="E68">
        <v>0.22</v>
      </c>
      <c r="F68">
        <v>0.17</v>
      </c>
      <c r="G68">
        <v>0.112</v>
      </c>
      <c r="H68">
        <v>5.1999999999999998E-2</v>
      </c>
      <c r="I68">
        <v>1.2200000000000001E-2</v>
      </c>
      <c r="J68">
        <v>3.0000000000000001E-3</v>
      </c>
      <c r="K68">
        <v>6.2200000000000005E-4</v>
      </c>
      <c r="L68">
        <v>6.8300000000000007E-5</v>
      </c>
      <c r="M68">
        <v>1.2300000000000001E-5</v>
      </c>
      <c r="N68">
        <v>2.2000000000000001E-6</v>
      </c>
      <c r="O68">
        <v>6.7999999999999995E-7</v>
      </c>
      <c r="P68" t="s">
        <v>16</v>
      </c>
      <c r="Q68" t="str">
        <f>VLOOKUP(A68,types,3)</f>
        <v>siltige leem</v>
      </c>
      <c r="R68">
        <f>0*C68</f>
        <v>0</v>
      </c>
      <c r="S68">
        <f t="shared" ref="S68:S71" si="169">0*D68</f>
        <v>0</v>
      </c>
      <c r="T68">
        <f t="shared" ref="T68:T71" si="170">0*E68</f>
        <v>0</v>
      </c>
      <c r="U68">
        <f t="shared" ref="U68:U71" si="171">0*F68</f>
        <v>0</v>
      </c>
      <c r="V68">
        <f t="shared" ref="V68:V71" si="172">0*G68</f>
        <v>0</v>
      </c>
      <c r="W68">
        <f t="shared" ref="W68:W71" si="173">0*H68</f>
        <v>0</v>
      </c>
      <c r="X68">
        <f t="shared" ref="X68:X71" si="174">0*I68</f>
        <v>0</v>
      </c>
      <c r="Y68">
        <f t="shared" ref="Y68:Y71" si="175">0*J68</f>
        <v>0</v>
      </c>
      <c r="Z68">
        <f t="shared" ref="Z68:Z71" si="176">0*K68</f>
        <v>0</v>
      </c>
      <c r="AA68">
        <f t="shared" ref="AA68:AA71" si="177">0*L68</f>
        <v>0</v>
      </c>
      <c r="AB68">
        <f t="shared" ref="AB68:AB71" si="178">0*M68</f>
        <v>0</v>
      </c>
      <c r="AC68">
        <f t="shared" ref="AC68:AC71" si="179">0*N68</f>
        <v>0</v>
      </c>
      <c r="AD68">
        <f t="shared" ref="AD68:AD71" si="180">0*O68</f>
        <v>0</v>
      </c>
    </row>
    <row r="69" spans="1:30" x14ac:dyDescent="0.2">
      <c r="A69" t="s">
        <v>18</v>
      </c>
      <c r="B69" t="s">
        <v>127</v>
      </c>
      <c r="C69">
        <v>0.41699999999999998</v>
      </c>
      <c r="D69">
        <v>0.41499999999999998</v>
      </c>
      <c r="E69">
        <v>0.41199999999999998</v>
      </c>
      <c r="F69">
        <v>0.40799999999999997</v>
      </c>
      <c r="G69">
        <v>0.40100000000000002</v>
      </c>
      <c r="H69">
        <v>0.38300000000000001</v>
      </c>
      <c r="I69">
        <v>0.34</v>
      </c>
      <c r="J69">
        <v>0.29499999999999998</v>
      </c>
      <c r="K69">
        <v>0.249</v>
      </c>
      <c r="L69">
        <v>0.19400000000000001</v>
      </c>
      <c r="M69">
        <v>0.16</v>
      </c>
      <c r="N69">
        <v>0.13200000000000001</v>
      </c>
      <c r="O69">
        <v>0.1159</v>
      </c>
      <c r="P69" t="s">
        <v>16</v>
      </c>
      <c r="Q69" t="str">
        <f>VLOOKUP(A69,types,3)</f>
        <v>siltige leem</v>
      </c>
      <c r="R69">
        <f t="shared" ref="R69:R71" si="181">0*C69</f>
        <v>0</v>
      </c>
      <c r="S69">
        <f t="shared" si="169"/>
        <v>0</v>
      </c>
      <c r="T69">
        <f t="shared" si="170"/>
        <v>0</v>
      </c>
      <c r="U69">
        <f t="shared" si="171"/>
        <v>0</v>
      </c>
      <c r="V69">
        <f t="shared" si="172"/>
        <v>0</v>
      </c>
      <c r="W69">
        <f t="shared" si="173"/>
        <v>0</v>
      </c>
      <c r="X69">
        <f t="shared" si="174"/>
        <v>0</v>
      </c>
      <c r="Y69">
        <f t="shared" si="175"/>
        <v>0</v>
      </c>
      <c r="Z69">
        <f t="shared" si="176"/>
        <v>0</v>
      </c>
      <c r="AA69">
        <f t="shared" si="177"/>
        <v>0</v>
      </c>
      <c r="AB69">
        <f t="shared" si="178"/>
        <v>0</v>
      </c>
      <c r="AC69">
        <f t="shared" si="179"/>
        <v>0</v>
      </c>
      <c r="AD69">
        <f t="shared" si="180"/>
        <v>0</v>
      </c>
    </row>
    <row r="70" spans="1:30" x14ac:dyDescent="0.2">
      <c r="A70" t="s">
        <v>18</v>
      </c>
      <c r="B70" t="s">
        <v>126</v>
      </c>
      <c r="C70">
        <v>0</v>
      </c>
      <c r="D70">
        <v>8</v>
      </c>
      <c r="E70">
        <v>15.2</v>
      </c>
      <c r="F70">
        <v>22.4</v>
      </c>
      <c r="G70">
        <v>33.4</v>
      </c>
      <c r="H70">
        <v>54.8</v>
      </c>
      <c r="I70">
        <v>84.5</v>
      </c>
      <c r="J70">
        <v>98.9</v>
      </c>
      <c r="K70">
        <v>105.8</v>
      </c>
      <c r="L70">
        <v>109</v>
      </c>
      <c r="M70">
        <v>109.7</v>
      </c>
      <c r="N70">
        <v>110</v>
      </c>
      <c r="O70">
        <v>110.1</v>
      </c>
      <c r="P70" t="s">
        <v>16</v>
      </c>
      <c r="Q70" t="str">
        <f>VLOOKUP(A70,types,3)</f>
        <v>siltige leem</v>
      </c>
      <c r="R70">
        <f t="shared" si="181"/>
        <v>0</v>
      </c>
      <c r="S70">
        <f t="shared" si="169"/>
        <v>0</v>
      </c>
      <c r="T70">
        <f t="shared" si="170"/>
        <v>0</v>
      </c>
      <c r="U70">
        <f t="shared" si="171"/>
        <v>0</v>
      </c>
      <c r="V70">
        <f t="shared" si="172"/>
        <v>0</v>
      </c>
      <c r="W70">
        <f t="shared" si="173"/>
        <v>0</v>
      </c>
      <c r="X70">
        <f t="shared" si="174"/>
        <v>0</v>
      </c>
      <c r="Y70">
        <f t="shared" si="175"/>
        <v>0</v>
      </c>
      <c r="Z70">
        <f t="shared" si="176"/>
        <v>0</v>
      </c>
      <c r="AA70">
        <f t="shared" si="177"/>
        <v>0</v>
      </c>
      <c r="AB70">
        <f t="shared" si="178"/>
        <v>0</v>
      </c>
      <c r="AC70">
        <f t="shared" si="179"/>
        <v>0</v>
      </c>
      <c r="AD70">
        <f t="shared" si="180"/>
        <v>0</v>
      </c>
    </row>
    <row r="71" spans="1:30" x14ac:dyDescent="0.2">
      <c r="A71" t="s">
        <v>18</v>
      </c>
      <c r="B71" t="s">
        <v>111</v>
      </c>
      <c r="C71">
        <v>0</v>
      </c>
      <c r="D71">
        <v>6.7</v>
      </c>
      <c r="E71">
        <v>12.3</v>
      </c>
      <c r="F71">
        <v>17.7</v>
      </c>
      <c r="G71">
        <v>25.4</v>
      </c>
      <c r="H71">
        <v>39.1</v>
      </c>
      <c r="I71">
        <v>55.8</v>
      </c>
      <c r="J71">
        <v>63.3</v>
      </c>
      <c r="K71">
        <v>66.7</v>
      </c>
      <c r="L71">
        <v>68.3</v>
      </c>
      <c r="M71">
        <v>68.7</v>
      </c>
      <c r="N71">
        <v>68.8</v>
      </c>
      <c r="O71">
        <v>68.900000000000006</v>
      </c>
      <c r="P71" t="s">
        <v>16</v>
      </c>
      <c r="Q71" t="str">
        <f>VLOOKUP(A71,types,3)</f>
        <v>siltige leem</v>
      </c>
      <c r="R71">
        <f t="shared" si="181"/>
        <v>0</v>
      </c>
      <c r="S71">
        <f t="shared" si="169"/>
        <v>0</v>
      </c>
      <c r="T71">
        <f t="shared" si="170"/>
        <v>0</v>
      </c>
      <c r="U71">
        <f t="shared" si="171"/>
        <v>0</v>
      </c>
      <c r="V71">
        <f t="shared" si="172"/>
        <v>0</v>
      </c>
      <c r="W71">
        <f t="shared" si="173"/>
        <v>0</v>
      </c>
      <c r="X71">
        <f t="shared" si="174"/>
        <v>0</v>
      </c>
      <c r="Y71">
        <f t="shared" si="175"/>
        <v>0</v>
      </c>
      <c r="Z71">
        <f t="shared" si="176"/>
        <v>0</v>
      </c>
      <c r="AA71">
        <f t="shared" si="177"/>
        <v>0</v>
      </c>
      <c r="AB71">
        <f t="shared" si="178"/>
        <v>0</v>
      </c>
      <c r="AC71">
        <f t="shared" si="179"/>
        <v>0</v>
      </c>
      <c r="AD71">
        <f t="shared" si="180"/>
        <v>0</v>
      </c>
    </row>
    <row r="73" spans="1:30" x14ac:dyDescent="0.2">
      <c r="A73" t="s">
        <v>19</v>
      </c>
      <c r="B73" t="s">
        <v>121</v>
      </c>
      <c r="C73">
        <v>87.45</v>
      </c>
      <c r="D73">
        <v>11.56</v>
      </c>
      <c r="E73">
        <v>5.87</v>
      </c>
      <c r="F73">
        <v>3.4</v>
      </c>
      <c r="G73">
        <v>1.69</v>
      </c>
      <c r="H73">
        <v>0.51</v>
      </c>
      <c r="I73">
        <v>8.4900000000000003E-2</v>
      </c>
      <c r="J73">
        <v>2.0199999999999999E-2</v>
      </c>
      <c r="K73">
        <v>4.6499999999999996E-3</v>
      </c>
      <c r="L73">
        <v>6.5600000000000001E-4</v>
      </c>
      <c r="M73">
        <v>1.4899999999999999E-4</v>
      </c>
      <c r="N73">
        <v>3.3599999999999997E-5</v>
      </c>
      <c r="O73">
        <v>1.22E-5</v>
      </c>
      <c r="P73" t="s">
        <v>81</v>
      </c>
      <c r="Q73" t="str">
        <f>VLOOKUP(A73,types,3)</f>
        <v>venig zand</v>
      </c>
      <c r="R73">
        <f>0*C73</f>
        <v>0</v>
      </c>
      <c r="S73">
        <f t="shared" ref="S73:S76" si="182">0*D73</f>
        <v>0</v>
      </c>
      <c r="T73">
        <f t="shared" ref="T73:T76" si="183">0*E73</f>
        <v>0</v>
      </c>
      <c r="U73">
        <f t="shared" ref="U73:U76" si="184">0*F73</f>
        <v>0</v>
      </c>
      <c r="V73">
        <f t="shared" ref="V73:V76" si="185">0*G73</f>
        <v>0</v>
      </c>
      <c r="W73">
        <f t="shared" ref="W73:W76" si="186">0*H73</f>
        <v>0</v>
      </c>
      <c r="X73">
        <f t="shared" ref="X73:X76" si="187">0*I73</f>
        <v>0</v>
      </c>
      <c r="Y73">
        <f t="shared" ref="Y73:Y76" si="188">0*J73</f>
        <v>0</v>
      </c>
      <c r="Z73">
        <f t="shared" ref="Z73:Z76" si="189">0*K73</f>
        <v>0</v>
      </c>
      <c r="AA73">
        <f t="shared" ref="AA73:AA76" si="190">0*L73</f>
        <v>0</v>
      </c>
      <c r="AB73">
        <f t="shared" ref="AB73:AB76" si="191">0*M73</f>
        <v>0</v>
      </c>
      <c r="AC73">
        <f t="shared" ref="AC73:AC76" si="192">0*N73</f>
        <v>0</v>
      </c>
      <c r="AD73">
        <f t="shared" ref="AD73:AD76" si="193">0*O73</f>
        <v>0</v>
      </c>
    </row>
    <row r="74" spans="1:30" x14ac:dyDescent="0.2">
      <c r="A74" t="s">
        <v>19</v>
      </c>
      <c r="B74" t="s">
        <v>127</v>
      </c>
      <c r="C74">
        <v>0.52800000000000002</v>
      </c>
      <c r="D74">
        <v>0.51200000000000001</v>
      </c>
      <c r="E74">
        <v>0.49299999999999999</v>
      </c>
      <c r="F74">
        <v>0.47299999999999998</v>
      </c>
      <c r="G74">
        <v>0.44400000000000001</v>
      </c>
      <c r="H74">
        <v>0.39100000000000001</v>
      </c>
      <c r="I74">
        <v>0.317</v>
      </c>
      <c r="J74">
        <v>0.26600000000000001</v>
      </c>
      <c r="K74">
        <v>0.221</v>
      </c>
      <c r="L74">
        <v>0.17399999999999999</v>
      </c>
      <c r="M74">
        <v>0.14499999999999999</v>
      </c>
      <c r="N74">
        <v>0.121</v>
      </c>
      <c r="O74">
        <v>0.10691000000000001</v>
      </c>
      <c r="P74" t="s">
        <v>81</v>
      </c>
      <c r="Q74" t="str">
        <f>VLOOKUP(A74,types,3)</f>
        <v>venig zand</v>
      </c>
      <c r="R74">
        <f t="shared" ref="R74:R76" si="194">0*C74</f>
        <v>0</v>
      </c>
      <c r="S74">
        <f t="shared" si="182"/>
        <v>0</v>
      </c>
      <c r="T74">
        <f t="shared" si="183"/>
        <v>0</v>
      </c>
      <c r="U74">
        <f t="shared" si="184"/>
        <v>0</v>
      </c>
      <c r="V74">
        <f t="shared" si="185"/>
        <v>0</v>
      </c>
      <c r="W74">
        <f t="shared" si="186"/>
        <v>0</v>
      </c>
      <c r="X74">
        <f t="shared" si="187"/>
        <v>0</v>
      </c>
      <c r="Y74">
        <f t="shared" si="188"/>
        <v>0</v>
      </c>
      <c r="Z74">
        <f t="shared" si="189"/>
        <v>0</v>
      </c>
      <c r="AA74">
        <f t="shared" si="190"/>
        <v>0</v>
      </c>
      <c r="AB74">
        <f t="shared" si="191"/>
        <v>0</v>
      </c>
      <c r="AC74">
        <f t="shared" si="192"/>
        <v>0</v>
      </c>
      <c r="AD74">
        <f t="shared" si="193"/>
        <v>0</v>
      </c>
    </row>
    <row r="75" spans="1:30" x14ac:dyDescent="0.2">
      <c r="A75" t="s">
        <v>19</v>
      </c>
      <c r="B75" t="s">
        <v>126</v>
      </c>
      <c r="C75">
        <v>0</v>
      </c>
      <c r="D75">
        <v>9.9</v>
      </c>
      <c r="E75">
        <v>19.8</v>
      </c>
      <c r="F75">
        <v>30.6</v>
      </c>
      <c r="G75">
        <v>48.8</v>
      </c>
      <c r="H75">
        <v>93.5</v>
      </c>
      <c r="I75">
        <v>189.4</v>
      </c>
      <c r="J75">
        <v>260.3</v>
      </c>
      <c r="K75">
        <v>304</v>
      </c>
      <c r="L75">
        <v>329.9</v>
      </c>
      <c r="M75">
        <v>337.8</v>
      </c>
      <c r="N75">
        <v>341.3</v>
      </c>
      <c r="O75">
        <v>342.5</v>
      </c>
      <c r="P75" t="s">
        <v>81</v>
      </c>
      <c r="Q75" t="str">
        <f>VLOOKUP(A75,types,3)</f>
        <v>venig zand</v>
      </c>
      <c r="R75">
        <f t="shared" si="194"/>
        <v>0</v>
      </c>
      <c r="S75">
        <f t="shared" si="182"/>
        <v>0</v>
      </c>
      <c r="T75">
        <f t="shared" si="183"/>
        <v>0</v>
      </c>
      <c r="U75">
        <f t="shared" si="184"/>
        <v>0</v>
      </c>
      <c r="V75">
        <f t="shared" si="185"/>
        <v>0</v>
      </c>
      <c r="W75">
        <f t="shared" si="186"/>
        <v>0</v>
      </c>
      <c r="X75">
        <f t="shared" si="187"/>
        <v>0</v>
      </c>
      <c r="Y75">
        <f t="shared" si="188"/>
        <v>0</v>
      </c>
      <c r="Z75">
        <f t="shared" si="189"/>
        <v>0</v>
      </c>
      <c r="AA75">
        <f t="shared" si="190"/>
        <v>0</v>
      </c>
      <c r="AB75">
        <f t="shared" si="191"/>
        <v>0</v>
      </c>
      <c r="AC75">
        <f t="shared" si="192"/>
        <v>0</v>
      </c>
      <c r="AD75">
        <f t="shared" si="193"/>
        <v>0</v>
      </c>
    </row>
    <row r="76" spans="1:30" x14ac:dyDescent="0.2">
      <c r="A76" t="s">
        <v>19</v>
      </c>
      <c r="B76" t="s">
        <v>111</v>
      </c>
      <c r="C76">
        <v>0</v>
      </c>
      <c r="D76">
        <v>9.9</v>
      </c>
      <c r="E76">
        <v>19.600000000000001</v>
      </c>
      <c r="F76">
        <v>30.2</v>
      </c>
      <c r="G76">
        <v>47.7</v>
      </c>
      <c r="H76">
        <v>88.1</v>
      </c>
      <c r="I76">
        <v>160.1</v>
      </c>
      <c r="J76">
        <v>202.2</v>
      </c>
      <c r="K76">
        <v>225.2</v>
      </c>
      <c r="L76">
        <v>238.3</v>
      </c>
      <c r="M76">
        <v>242.2</v>
      </c>
      <c r="N76">
        <v>244</v>
      </c>
      <c r="O76">
        <v>244.6</v>
      </c>
      <c r="P76" t="s">
        <v>81</v>
      </c>
      <c r="Q76" t="str">
        <f>VLOOKUP(A76,types,3)</f>
        <v>venig zand</v>
      </c>
      <c r="R76">
        <f t="shared" si="194"/>
        <v>0</v>
      </c>
      <c r="S76">
        <f t="shared" si="182"/>
        <v>0</v>
      </c>
      <c r="T76">
        <f t="shared" si="183"/>
        <v>0</v>
      </c>
      <c r="U76">
        <f t="shared" si="184"/>
        <v>0</v>
      </c>
      <c r="V76">
        <f t="shared" si="185"/>
        <v>0</v>
      </c>
      <c r="W76">
        <f t="shared" si="186"/>
        <v>0</v>
      </c>
      <c r="X76">
        <f t="shared" si="187"/>
        <v>0</v>
      </c>
      <c r="Y76">
        <f t="shared" si="188"/>
        <v>0</v>
      </c>
      <c r="Z76">
        <f t="shared" si="189"/>
        <v>0</v>
      </c>
      <c r="AA76">
        <f t="shared" si="190"/>
        <v>0</v>
      </c>
      <c r="AB76">
        <f t="shared" si="191"/>
        <v>0</v>
      </c>
      <c r="AC76">
        <f t="shared" si="192"/>
        <v>0</v>
      </c>
      <c r="AD76">
        <f t="shared" si="193"/>
        <v>0</v>
      </c>
    </row>
    <row r="78" spans="1:30" x14ac:dyDescent="0.2">
      <c r="A78" t="s">
        <v>20</v>
      </c>
      <c r="B78" t="s">
        <v>121</v>
      </c>
      <c r="C78">
        <v>12.36</v>
      </c>
      <c r="D78">
        <v>1.75</v>
      </c>
      <c r="E78">
        <v>0.91</v>
      </c>
      <c r="F78">
        <v>0.54</v>
      </c>
      <c r="G78">
        <v>0.27</v>
      </c>
      <c r="H78">
        <v>8.1799999999999998E-2</v>
      </c>
      <c r="I78">
        <v>1.32E-2</v>
      </c>
      <c r="J78">
        <v>3.0300000000000001E-3</v>
      </c>
      <c r="K78">
        <v>6.69E-4</v>
      </c>
      <c r="L78">
        <v>8.8900000000000006E-5</v>
      </c>
      <c r="M78">
        <v>1.9199999999999999E-5</v>
      </c>
      <c r="N78">
        <v>4.1300000000000003E-6</v>
      </c>
      <c r="O78">
        <v>1.46E-6</v>
      </c>
      <c r="P78" t="s">
        <v>81</v>
      </c>
      <c r="Q78" t="str">
        <f>VLOOKUP(A78,types,3)</f>
        <v>zandig veen en veen</v>
      </c>
      <c r="R78">
        <f>0*C78</f>
        <v>0</v>
      </c>
      <c r="S78">
        <f t="shared" ref="S78:S81" si="195">0*D78</f>
        <v>0</v>
      </c>
      <c r="T78">
        <f t="shared" ref="T78:T81" si="196">0*E78</f>
        <v>0</v>
      </c>
      <c r="U78">
        <f t="shared" ref="U78:U81" si="197">0*F78</f>
        <v>0</v>
      </c>
      <c r="V78">
        <f t="shared" ref="V78:V81" si="198">0*G78</f>
        <v>0</v>
      </c>
      <c r="W78">
        <f t="shared" ref="W78:W81" si="199">0*H78</f>
        <v>0</v>
      </c>
      <c r="X78">
        <f t="shared" ref="X78:X81" si="200">0*I78</f>
        <v>0</v>
      </c>
      <c r="Y78">
        <f t="shared" ref="Y78:Y81" si="201">0*J78</f>
        <v>0</v>
      </c>
      <c r="Z78">
        <f t="shared" ref="Z78:Z81" si="202">0*K78</f>
        <v>0</v>
      </c>
      <c r="AA78">
        <f t="shared" ref="AA78:AA81" si="203">0*L78</f>
        <v>0</v>
      </c>
      <c r="AB78">
        <f t="shared" ref="AB78:AB81" si="204">0*M78</f>
        <v>0</v>
      </c>
      <c r="AC78">
        <f t="shared" ref="AC78:AC81" si="205">0*N78</f>
        <v>0</v>
      </c>
      <c r="AD78">
        <f t="shared" ref="AD78:AD81" si="206">0*O78</f>
        <v>0</v>
      </c>
    </row>
    <row r="79" spans="1:30" x14ac:dyDescent="0.2">
      <c r="A79" t="s">
        <v>20</v>
      </c>
      <c r="B79" t="s">
        <v>127</v>
      </c>
      <c r="C79">
        <v>0.78600000000000003</v>
      </c>
      <c r="D79">
        <v>0.76500000000000001</v>
      </c>
      <c r="E79">
        <v>0.73899999999999999</v>
      </c>
      <c r="F79">
        <v>0.71199999999999997</v>
      </c>
      <c r="G79">
        <v>0.67200000000000004</v>
      </c>
      <c r="H79">
        <v>0.59699999999999998</v>
      </c>
      <c r="I79">
        <v>0.48599999999999999</v>
      </c>
      <c r="J79">
        <v>0.40799999999999997</v>
      </c>
      <c r="K79">
        <v>0.34</v>
      </c>
      <c r="L79">
        <v>0.26700000000000002</v>
      </c>
      <c r="M79">
        <v>0.222</v>
      </c>
      <c r="N79">
        <v>0.185</v>
      </c>
      <c r="O79">
        <v>0.16314000000000001</v>
      </c>
      <c r="P79" t="s">
        <v>81</v>
      </c>
      <c r="Q79" t="str">
        <f>VLOOKUP(A79,types,3)</f>
        <v>zandig veen en veen</v>
      </c>
      <c r="R79">
        <f t="shared" ref="R79:R81" si="207">0*C79</f>
        <v>0</v>
      </c>
      <c r="S79">
        <f t="shared" si="195"/>
        <v>0</v>
      </c>
      <c r="T79">
        <f t="shared" si="196"/>
        <v>0</v>
      </c>
      <c r="U79">
        <f t="shared" si="197"/>
        <v>0</v>
      </c>
      <c r="V79">
        <f t="shared" si="198"/>
        <v>0</v>
      </c>
      <c r="W79">
        <f t="shared" si="199"/>
        <v>0</v>
      </c>
      <c r="X79">
        <f t="shared" si="200"/>
        <v>0</v>
      </c>
      <c r="Y79">
        <f t="shared" si="201"/>
        <v>0</v>
      </c>
      <c r="Z79">
        <f t="shared" si="202"/>
        <v>0</v>
      </c>
      <c r="AA79">
        <f t="shared" si="203"/>
        <v>0</v>
      </c>
      <c r="AB79">
        <f t="shared" si="204"/>
        <v>0</v>
      </c>
      <c r="AC79">
        <f t="shared" si="205"/>
        <v>0</v>
      </c>
      <c r="AD79">
        <f t="shared" si="206"/>
        <v>0</v>
      </c>
    </row>
    <row r="80" spans="1:30" x14ac:dyDescent="0.2">
      <c r="A80" t="s">
        <v>20</v>
      </c>
      <c r="B80" t="s">
        <v>126</v>
      </c>
      <c r="C80">
        <v>0</v>
      </c>
      <c r="D80">
        <v>9.6999999999999993</v>
      </c>
      <c r="E80">
        <v>18.899999999999999</v>
      </c>
      <c r="F80">
        <v>28.5</v>
      </c>
      <c r="G80">
        <v>43.5</v>
      </c>
      <c r="H80">
        <v>72.599999999999994</v>
      </c>
      <c r="I80">
        <v>108.3</v>
      </c>
      <c r="J80">
        <v>123.2</v>
      </c>
      <c r="K80">
        <v>130.19999999999999</v>
      </c>
      <c r="L80">
        <v>133.9</v>
      </c>
      <c r="M80">
        <v>135</v>
      </c>
      <c r="N80">
        <v>135.4</v>
      </c>
      <c r="O80">
        <v>135.6</v>
      </c>
      <c r="P80" t="s">
        <v>81</v>
      </c>
      <c r="Q80" t="str">
        <f>VLOOKUP(A80,types,3)</f>
        <v>zandig veen en veen</v>
      </c>
      <c r="R80">
        <f t="shared" si="207"/>
        <v>0</v>
      </c>
      <c r="S80">
        <f t="shared" si="195"/>
        <v>0</v>
      </c>
      <c r="T80">
        <f t="shared" si="196"/>
        <v>0</v>
      </c>
      <c r="U80">
        <f t="shared" si="197"/>
        <v>0</v>
      </c>
      <c r="V80">
        <f t="shared" si="198"/>
        <v>0</v>
      </c>
      <c r="W80">
        <f t="shared" si="199"/>
        <v>0</v>
      </c>
      <c r="X80">
        <f t="shared" si="200"/>
        <v>0</v>
      </c>
      <c r="Y80">
        <f t="shared" si="201"/>
        <v>0</v>
      </c>
      <c r="Z80">
        <f t="shared" si="202"/>
        <v>0</v>
      </c>
      <c r="AA80">
        <f t="shared" si="203"/>
        <v>0</v>
      </c>
      <c r="AB80">
        <f t="shared" si="204"/>
        <v>0</v>
      </c>
      <c r="AC80">
        <f t="shared" si="205"/>
        <v>0</v>
      </c>
      <c r="AD80">
        <f t="shared" si="206"/>
        <v>0</v>
      </c>
    </row>
    <row r="81" spans="1:30" x14ac:dyDescent="0.2">
      <c r="A81" t="s">
        <v>20</v>
      </c>
      <c r="B81" t="s">
        <v>111</v>
      </c>
      <c r="C81">
        <v>0</v>
      </c>
      <c r="D81">
        <v>9.3000000000000007</v>
      </c>
      <c r="E81">
        <v>17.899999999999999</v>
      </c>
      <c r="F81">
        <v>26.5</v>
      </c>
      <c r="G81">
        <v>38.799999999999997</v>
      </c>
      <c r="H81">
        <v>59.6</v>
      </c>
      <c r="I81">
        <v>80.400000000000006</v>
      </c>
      <c r="J81">
        <v>88.1</v>
      </c>
      <c r="K81">
        <v>91.6</v>
      </c>
      <c r="L81">
        <v>93.5</v>
      </c>
      <c r="M81">
        <v>94</v>
      </c>
      <c r="N81">
        <v>94.2</v>
      </c>
      <c r="O81">
        <v>94.3</v>
      </c>
      <c r="P81" t="s">
        <v>81</v>
      </c>
      <c r="Q81" t="str">
        <f>VLOOKUP(A81,types,3)</f>
        <v>zandig veen en veen</v>
      </c>
      <c r="R81">
        <f t="shared" si="207"/>
        <v>0</v>
      </c>
      <c r="S81">
        <f t="shared" si="195"/>
        <v>0</v>
      </c>
      <c r="T81">
        <f t="shared" si="196"/>
        <v>0</v>
      </c>
      <c r="U81">
        <f t="shared" si="197"/>
        <v>0</v>
      </c>
      <c r="V81">
        <f t="shared" si="198"/>
        <v>0</v>
      </c>
      <c r="W81">
        <f t="shared" si="199"/>
        <v>0</v>
      </c>
      <c r="X81">
        <f t="shared" si="200"/>
        <v>0</v>
      </c>
      <c r="Y81">
        <f t="shared" si="201"/>
        <v>0</v>
      </c>
      <c r="Z81">
        <f t="shared" si="202"/>
        <v>0</v>
      </c>
      <c r="AA81">
        <f t="shared" si="203"/>
        <v>0</v>
      </c>
      <c r="AB81">
        <f t="shared" si="204"/>
        <v>0</v>
      </c>
      <c r="AC81">
        <f t="shared" si="205"/>
        <v>0</v>
      </c>
      <c r="AD81">
        <f t="shared" si="206"/>
        <v>0</v>
      </c>
    </row>
    <row r="83" spans="1:30" x14ac:dyDescent="0.2">
      <c r="A83" t="s">
        <v>21</v>
      </c>
      <c r="B83" t="s">
        <v>121</v>
      </c>
      <c r="C83">
        <v>4.4800000000000004</v>
      </c>
      <c r="D83">
        <v>0.21</v>
      </c>
      <c r="E83">
        <v>0.11</v>
      </c>
      <c r="F83">
        <v>0.06</v>
      </c>
      <c r="G83">
        <v>3.09E-2</v>
      </c>
      <c r="H83">
        <v>9.5200000000000007E-3</v>
      </c>
      <c r="I83">
        <v>1.56E-3</v>
      </c>
      <c r="J83">
        <v>3.5399999999999999E-4</v>
      </c>
      <c r="K83">
        <v>7.6699999999999994E-5</v>
      </c>
      <c r="L83">
        <v>9.7899999999999994E-6</v>
      </c>
      <c r="M83">
        <v>2.04E-6</v>
      </c>
      <c r="N83">
        <v>4.2300000000000002E-7</v>
      </c>
      <c r="O83">
        <v>1.4600000000000001E-7</v>
      </c>
      <c r="P83" t="s">
        <v>81</v>
      </c>
      <c r="Q83" t="str">
        <f>VLOOKUP(A83,types,3)</f>
        <v>venige klei</v>
      </c>
      <c r="R83">
        <f>0*C83</f>
        <v>0</v>
      </c>
      <c r="S83">
        <f t="shared" ref="S83:S86" si="208">0*D83</f>
        <v>0</v>
      </c>
      <c r="T83">
        <f t="shared" ref="T83:T86" si="209">0*E83</f>
        <v>0</v>
      </c>
      <c r="U83">
        <f t="shared" ref="U83:U86" si="210">0*F83</f>
        <v>0</v>
      </c>
      <c r="V83">
        <f t="shared" ref="V83:V86" si="211">0*G83</f>
        <v>0</v>
      </c>
      <c r="W83">
        <f t="shared" ref="W83:W86" si="212">0*H83</f>
        <v>0</v>
      </c>
      <c r="X83">
        <f t="shared" ref="X83:X86" si="213">0*I83</f>
        <v>0</v>
      </c>
      <c r="Y83">
        <f t="shared" ref="Y83:Y86" si="214">0*J83</f>
        <v>0</v>
      </c>
      <c r="Z83">
        <f t="shared" ref="Z83:Z86" si="215">0*K83</f>
        <v>0</v>
      </c>
      <c r="AA83">
        <f t="shared" ref="AA83:AA86" si="216">0*L83</f>
        <v>0</v>
      </c>
      <c r="AB83">
        <f t="shared" ref="AB83:AB86" si="217">0*M83</f>
        <v>0</v>
      </c>
      <c r="AC83">
        <f t="shared" ref="AC83:AC86" si="218">0*N83</f>
        <v>0</v>
      </c>
      <c r="AD83">
        <f t="shared" ref="AD83:AD86" si="219">0*O83</f>
        <v>0</v>
      </c>
    </row>
    <row r="84" spans="1:30" x14ac:dyDescent="0.2">
      <c r="A84" t="s">
        <v>21</v>
      </c>
      <c r="B84" t="s">
        <v>127</v>
      </c>
      <c r="C84">
        <v>0.71899999999999997</v>
      </c>
      <c r="D84">
        <v>0.70699999999999996</v>
      </c>
      <c r="E84">
        <v>0.69399999999999995</v>
      </c>
      <c r="F84">
        <v>0.68200000000000005</v>
      </c>
      <c r="G84">
        <v>0.66300000000000003</v>
      </c>
      <c r="H84">
        <v>0.628</v>
      </c>
      <c r="I84">
        <v>0.56999999999999995</v>
      </c>
      <c r="J84">
        <v>0.52300000000000002</v>
      </c>
      <c r="K84">
        <v>0.47799999999999998</v>
      </c>
      <c r="L84">
        <v>0.42299999999999999</v>
      </c>
      <c r="M84">
        <v>0.38500000000000001</v>
      </c>
      <c r="N84">
        <v>0.35099999999999998</v>
      </c>
      <c r="O84">
        <v>0.32879999999999998</v>
      </c>
      <c r="P84" t="s">
        <v>81</v>
      </c>
      <c r="Q84" t="str">
        <f>VLOOKUP(A84,types,3)</f>
        <v>venige klei</v>
      </c>
      <c r="R84">
        <f t="shared" ref="R84:R86" si="220">0*C84</f>
        <v>0</v>
      </c>
      <c r="S84">
        <f t="shared" si="208"/>
        <v>0</v>
      </c>
      <c r="T84">
        <f t="shared" si="209"/>
        <v>0</v>
      </c>
      <c r="U84">
        <f t="shared" si="210"/>
        <v>0</v>
      </c>
      <c r="V84">
        <f t="shared" si="211"/>
        <v>0</v>
      </c>
      <c r="W84">
        <f t="shared" si="212"/>
        <v>0</v>
      </c>
      <c r="X84">
        <f t="shared" si="213"/>
        <v>0</v>
      </c>
      <c r="Y84">
        <f t="shared" si="214"/>
        <v>0</v>
      </c>
      <c r="Z84">
        <f t="shared" si="215"/>
        <v>0</v>
      </c>
      <c r="AA84">
        <f t="shared" si="216"/>
        <v>0</v>
      </c>
      <c r="AB84">
        <f t="shared" si="217"/>
        <v>0</v>
      </c>
      <c r="AC84">
        <f t="shared" si="218"/>
        <v>0</v>
      </c>
      <c r="AD84">
        <f t="shared" si="219"/>
        <v>0</v>
      </c>
    </row>
    <row r="85" spans="1:30" x14ac:dyDescent="0.2">
      <c r="A85" t="s">
        <v>21</v>
      </c>
      <c r="B85" t="s">
        <v>126</v>
      </c>
      <c r="C85">
        <v>0</v>
      </c>
      <c r="D85">
        <v>7.9</v>
      </c>
      <c r="E85">
        <v>13.8</v>
      </c>
      <c r="F85">
        <v>18.600000000000001</v>
      </c>
      <c r="G85">
        <v>24.4</v>
      </c>
      <c r="H85">
        <v>31.6</v>
      </c>
      <c r="I85">
        <v>37.200000000000003</v>
      </c>
      <c r="J85">
        <v>39.1</v>
      </c>
      <c r="K85">
        <v>39.9</v>
      </c>
      <c r="L85">
        <v>40.299999999999997</v>
      </c>
      <c r="M85">
        <v>40.5</v>
      </c>
      <c r="N85">
        <v>40.5</v>
      </c>
      <c r="O85">
        <v>40.5</v>
      </c>
      <c r="P85" t="s">
        <v>81</v>
      </c>
      <c r="Q85" t="str">
        <f>VLOOKUP(A85,types,3)</f>
        <v>venige klei</v>
      </c>
      <c r="R85">
        <f t="shared" si="220"/>
        <v>0</v>
      </c>
      <c r="S85">
        <f t="shared" si="208"/>
        <v>0</v>
      </c>
      <c r="T85">
        <f t="shared" si="209"/>
        <v>0</v>
      </c>
      <c r="U85">
        <f t="shared" si="210"/>
        <v>0</v>
      </c>
      <c r="V85">
        <f t="shared" si="211"/>
        <v>0</v>
      </c>
      <c r="W85">
        <f t="shared" si="212"/>
        <v>0</v>
      </c>
      <c r="X85">
        <f t="shared" si="213"/>
        <v>0</v>
      </c>
      <c r="Y85">
        <f t="shared" si="214"/>
        <v>0</v>
      </c>
      <c r="Z85">
        <f t="shared" si="215"/>
        <v>0</v>
      </c>
      <c r="AA85">
        <f t="shared" si="216"/>
        <v>0</v>
      </c>
      <c r="AB85">
        <f t="shared" si="217"/>
        <v>0</v>
      </c>
      <c r="AC85">
        <f t="shared" si="218"/>
        <v>0</v>
      </c>
      <c r="AD85">
        <f t="shared" si="219"/>
        <v>0</v>
      </c>
    </row>
    <row r="86" spans="1:30" x14ac:dyDescent="0.2">
      <c r="A86" t="s">
        <v>21</v>
      </c>
      <c r="B86" t="s">
        <v>111</v>
      </c>
      <c r="C86">
        <v>0</v>
      </c>
      <c r="D86">
        <v>6.5</v>
      </c>
      <c r="E86">
        <v>10.7</v>
      </c>
      <c r="F86">
        <v>13.9</v>
      </c>
      <c r="G86">
        <v>17.3</v>
      </c>
      <c r="H86">
        <v>21.2</v>
      </c>
      <c r="I86">
        <v>24.1</v>
      </c>
      <c r="J86">
        <v>25</v>
      </c>
      <c r="K86">
        <v>25.4</v>
      </c>
      <c r="L86">
        <v>25.6</v>
      </c>
      <c r="M86">
        <v>25.7</v>
      </c>
      <c r="N86">
        <v>25.7</v>
      </c>
      <c r="O86">
        <v>25.7</v>
      </c>
      <c r="P86" t="s">
        <v>81</v>
      </c>
      <c r="Q86" t="str">
        <f>VLOOKUP(A86,types,3)</f>
        <v>venige klei</v>
      </c>
      <c r="R86">
        <f t="shared" si="220"/>
        <v>0</v>
      </c>
      <c r="S86">
        <f t="shared" si="208"/>
        <v>0</v>
      </c>
      <c r="T86">
        <f t="shared" si="209"/>
        <v>0</v>
      </c>
      <c r="U86">
        <f t="shared" si="210"/>
        <v>0</v>
      </c>
      <c r="V86">
        <f t="shared" si="211"/>
        <v>0</v>
      </c>
      <c r="W86">
        <f t="shared" si="212"/>
        <v>0</v>
      </c>
      <c r="X86">
        <f t="shared" si="213"/>
        <v>0</v>
      </c>
      <c r="Y86">
        <f t="shared" si="214"/>
        <v>0</v>
      </c>
      <c r="Z86">
        <f t="shared" si="215"/>
        <v>0</v>
      </c>
      <c r="AA86">
        <f t="shared" si="216"/>
        <v>0</v>
      </c>
      <c r="AB86">
        <f t="shared" si="217"/>
        <v>0</v>
      </c>
      <c r="AC86">
        <f t="shared" si="218"/>
        <v>0</v>
      </c>
      <c r="AD86">
        <f t="shared" si="219"/>
        <v>0</v>
      </c>
    </row>
    <row r="88" spans="1:30" x14ac:dyDescent="0.2">
      <c r="A88" t="s">
        <v>22</v>
      </c>
      <c r="B88" t="s">
        <v>121</v>
      </c>
      <c r="C88">
        <v>13.14</v>
      </c>
      <c r="D88">
        <v>0.68</v>
      </c>
      <c r="E88">
        <v>0.34</v>
      </c>
      <c r="F88">
        <v>0.19</v>
      </c>
      <c r="G88">
        <v>9.5399999999999999E-2</v>
      </c>
      <c r="H88" s="4">
        <v>2.8400000000000002E-2</v>
      </c>
      <c r="I88" s="4">
        <v>4.47E-3</v>
      </c>
      <c r="J88" s="4">
        <v>9.8999999999999999E-4</v>
      </c>
      <c r="K88">
        <v>2.0900000000000001E-4</v>
      </c>
      <c r="L88">
        <v>2.5999999999999998E-5</v>
      </c>
      <c r="M88">
        <v>5.31E-6</v>
      </c>
      <c r="N88">
        <v>1.08E-6</v>
      </c>
      <c r="O88">
        <v>3.6600000000000002E-7</v>
      </c>
      <c r="P88" t="s">
        <v>81</v>
      </c>
      <c r="Q88" t="str">
        <f>VLOOKUP(A88,types,3)</f>
        <v>kleiig veen</v>
      </c>
      <c r="R88">
        <f>0*C88</f>
        <v>0</v>
      </c>
      <c r="S88">
        <f t="shared" ref="S88:S91" si="221">0*D88</f>
        <v>0</v>
      </c>
      <c r="T88">
        <f t="shared" ref="T88:T91" si="222">0*E88</f>
        <v>0</v>
      </c>
      <c r="U88">
        <f t="shared" ref="U88:U91" si="223">0*F88</f>
        <v>0</v>
      </c>
      <c r="V88">
        <f t="shared" ref="V88:V91" si="224">0*G88</f>
        <v>0</v>
      </c>
      <c r="W88">
        <f t="shared" ref="W88:W91" si="225">0*H88</f>
        <v>0</v>
      </c>
      <c r="X88">
        <f t="shared" ref="X88:X91" si="226">0*I88</f>
        <v>0</v>
      </c>
      <c r="Y88">
        <f t="shared" ref="Y88:Y91" si="227">0*J88</f>
        <v>0</v>
      </c>
      <c r="Z88">
        <f t="shared" ref="Z88:Z91" si="228">0*K88</f>
        <v>0</v>
      </c>
      <c r="AA88">
        <f t="shared" ref="AA88:AA91" si="229">0*L88</f>
        <v>0</v>
      </c>
      <c r="AB88">
        <f t="shared" ref="AB88:AB91" si="230">0*M88</f>
        <v>0</v>
      </c>
      <c r="AC88">
        <f t="shared" ref="AC88:AC91" si="231">0*N88</f>
        <v>0</v>
      </c>
      <c r="AD88">
        <f t="shared" ref="AD88:AD91" si="232">0*O88</f>
        <v>0</v>
      </c>
    </row>
    <row r="89" spans="1:30" x14ac:dyDescent="0.2">
      <c r="A89" t="s">
        <v>22</v>
      </c>
      <c r="B89" t="s">
        <v>127</v>
      </c>
      <c r="C89">
        <v>0.76500000000000001</v>
      </c>
      <c r="D89">
        <v>0.751</v>
      </c>
      <c r="E89">
        <v>0.73499999999999999</v>
      </c>
      <c r="F89">
        <v>0.72</v>
      </c>
      <c r="G89">
        <v>0.69799999999999995</v>
      </c>
      <c r="H89">
        <v>0.65500000000000003</v>
      </c>
      <c r="I89">
        <v>0.58699999999999997</v>
      </c>
      <c r="J89">
        <v>0.53400000000000003</v>
      </c>
      <c r="K89">
        <v>0.48399999999999999</v>
      </c>
      <c r="L89">
        <v>0.42199999999999999</v>
      </c>
      <c r="M89">
        <v>0.38100000000000001</v>
      </c>
      <c r="N89">
        <v>0.34300000000000003</v>
      </c>
      <c r="O89">
        <v>0.31973000000000001</v>
      </c>
      <c r="P89" t="s">
        <v>81</v>
      </c>
      <c r="Q89" t="str">
        <f>VLOOKUP(A89,types,3)</f>
        <v>kleiig veen</v>
      </c>
      <c r="R89">
        <f t="shared" ref="R89:R91" si="233">0*C89</f>
        <v>0</v>
      </c>
      <c r="S89">
        <f t="shared" si="221"/>
        <v>0</v>
      </c>
      <c r="T89">
        <f t="shared" si="222"/>
        <v>0</v>
      </c>
      <c r="U89">
        <f t="shared" si="223"/>
        <v>0</v>
      </c>
      <c r="V89">
        <f t="shared" si="224"/>
        <v>0</v>
      </c>
      <c r="W89">
        <f t="shared" si="225"/>
        <v>0</v>
      </c>
      <c r="X89">
        <f t="shared" si="226"/>
        <v>0</v>
      </c>
      <c r="Y89">
        <f t="shared" si="227"/>
        <v>0</v>
      </c>
      <c r="Z89">
        <f t="shared" si="228"/>
        <v>0</v>
      </c>
      <c r="AA89">
        <f t="shared" si="229"/>
        <v>0</v>
      </c>
      <c r="AB89">
        <f t="shared" si="230"/>
        <v>0</v>
      </c>
      <c r="AC89">
        <f t="shared" si="231"/>
        <v>0</v>
      </c>
      <c r="AD89">
        <f t="shared" si="232"/>
        <v>0</v>
      </c>
    </row>
    <row r="90" spans="1:30" x14ac:dyDescent="0.2">
      <c r="A90" t="s">
        <v>22</v>
      </c>
      <c r="B90" t="s">
        <v>126</v>
      </c>
      <c r="C90">
        <v>0</v>
      </c>
      <c r="D90">
        <v>9.1999999999999993</v>
      </c>
      <c r="E90">
        <v>17.399999999999999</v>
      </c>
      <c r="F90">
        <v>25.3</v>
      </c>
      <c r="G90">
        <v>36.200000000000003</v>
      </c>
      <c r="H90">
        <v>52.9</v>
      </c>
      <c r="I90">
        <v>68</v>
      </c>
      <c r="J90">
        <v>73.2</v>
      </c>
      <c r="K90">
        <v>75.5</v>
      </c>
      <c r="L90">
        <v>76.599999999999994</v>
      </c>
      <c r="M90">
        <v>76.900000000000006</v>
      </c>
      <c r="N90">
        <v>77</v>
      </c>
      <c r="O90">
        <v>77</v>
      </c>
      <c r="P90" t="s">
        <v>81</v>
      </c>
      <c r="Q90" t="str">
        <f>VLOOKUP(A90,types,3)</f>
        <v>kleiig veen</v>
      </c>
      <c r="R90">
        <f t="shared" si="233"/>
        <v>0</v>
      </c>
      <c r="S90">
        <f t="shared" si="221"/>
        <v>0</v>
      </c>
      <c r="T90">
        <f t="shared" si="222"/>
        <v>0</v>
      </c>
      <c r="U90">
        <f t="shared" si="223"/>
        <v>0</v>
      </c>
      <c r="V90">
        <f t="shared" si="224"/>
        <v>0</v>
      </c>
      <c r="W90">
        <f t="shared" si="225"/>
        <v>0</v>
      </c>
      <c r="X90">
        <f t="shared" si="226"/>
        <v>0</v>
      </c>
      <c r="Y90">
        <f t="shared" si="227"/>
        <v>0</v>
      </c>
      <c r="Z90">
        <f t="shared" si="228"/>
        <v>0</v>
      </c>
      <c r="AA90">
        <f t="shared" si="229"/>
        <v>0</v>
      </c>
      <c r="AB90">
        <f t="shared" si="230"/>
        <v>0</v>
      </c>
      <c r="AC90">
        <f t="shared" si="231"/>
        <v>0</v>
      </c>
      <c r="AD90">
        <f t="shared" si="232"/>
        <v>0</v>
      </c>
    </row>
    <row r="91" spans="1:30" x14ac:dyDescent="0.2">
      <c r="A91" t="s">
        <v>22</v>
      </c>
      <c r="B91" t="s">
        <v>111</v>
      </c>
      <c r="C91">
        <v>0</v>
      </c>
      <c r="D91">
        <v>8.6</v>
      </c>
      <c r="E91">
        <v>15.6</v>
      </c>
      <c r="F91">
        <v>21.7</v>
      </c>
      <c r="G91">
        <v>29.3</v>
      </c>
      <c r="H91">
        <v>39.5</v>
      </c>
      <c r="I91">
        <v>47.5</v>
      </c>
      <c r="J91">
        <v>50.2</v>
      </c>
      <c r="K91">
        <v>51.3</v>
      </c>
      <c r="L91">
        <v>51.9</v>
      </c>
      <c r="M91">
        <v>52</v>
      </c>
      <c r="N91">
        <v>52.1</v>
      </c>
      <c r="O91">
        <v>52.1</v>
      </c>
      <c r="P91" t="s">
        <v>81</v>
      </c>
      <c r="Q91" t="str">
        <f>VLOOKUP(A91,types,3)</f>
        <v>kleiig veen</v>
      </c>
      <c r="R91">
        <f t="shared" si="233"/>
        <v>0</v>
      </c>
      <c r="S91">
        <f t="shared" si="221"/>
        <v>0</v>
      </c>
      <c r="T91">
        <f t="shared" si="222"/>
        <v>0</v>
      </c>
      <c r="U91">
        <f t="shared" si="223"/>
        <v>0</v>
      </c>
      <c r="V91">
        <f t="shared" si="224"/>
        <v>0</v>
      </c>
      <c r="W91">
        <f t="shared" si="225"/>
        <v>0</v>
      </c>
      <c r="X91">
        <f t="shared" si="226"/>
        <v>0</v>
      </c>
      <c r="Y91">
        <f t="shared" si="227"/>
        <v>0</v>
      </c>
      <c r="Z91">
        <f t="shared" si="228"/>
        <v>0</v>
      </c>
      <c r="AA91">
        <f t="shared" si="229"/>
        <v>0</v>
      </c>
      <c r="AB91">
        <f t="shared" si="230"/>
        <v>0</v>
      </c>
      <c r="AC91">
        <f t="shared" si="231"/>
        <v>0</v>
      </c>
      <c r="AD91">
        <f t="shared" si="232"/>
        <v>0</v>
      </c>
    </row>
    <row r="93" spans="1:30" x14ac:dyDescent="0.2">
      <c r="A93" t="s">
        <v>31</v>
      </c>
      <c r="B93" t="s">
        <v>121</v>
      </c>
      <c r="C93">
        <v>22.32</v>
      </c>
      <c r="D93">
        <v>16.89</v>
      </c>
      <c r="E93">
        <v>10.95</v>
      </c>
      <c r="F93">
        <v>5.97</v>
      </c>
      <c r="G93">
        <v>1.74</v>
      </c>
      <c r="H93" s="4">
        <v>6.8000000000000005E-2</v>
      </c>
      <c r="I93" s="4">
        <v>1.37E-4</v>
      </c>
      <c r="J93" s="4">
        <v>7.5799999999999998E-7</v>
      </c>
      <c r="K93" s="4">
        <v>3.8499999999999997E-9</v>
      </c>
      <c r="L93" s="4">
        <v>3.47E-12</v>
      </c>
      <c r="M93" s="4">
        <v>1.7100000000000001E-14</v>
      </c>
      <c r="N93" s="4">
        <v>8.4800000000000005E-17</v>
      </c>
      <c r="O93" s="4">
        <v>2.32E-18</v>
      </c>
      <c r="P93" t="s">
        <v>3</v>
      </c>
      <c r="Q93" t="str">
        <f>VLOOKUP(A93,types,3)</f>
        <v>leemarm, zeer fijn tot matig fijn zand</v>
      </c>
      <c r="R93">
        <f>0*C93</f>
        <v>0</v>
      </c>
      <c r="S93">
        <f t="shared" ref="S93:S96" si="234">0*D93</f>
        <v>0</v>
      </c>
      <c r="T93">
        <f t="shared" ref="T93:T96" si="235">0*E93</f>
        <v>0</v>
      </c>
      <c r="U93">
        <f t="shared" ref="U93:U96" si="236">0*F93</f>
        <v>0</v>
      </c>
      <c r="V93">
        <f t="shared" ref="V93:V96" si="237">0*G93</f>
        <v>0</v>
      </c>
      <c r="W93">
        <f t="shared" ref="W93:W96" si="238">0*H93</f>
        <v>0</v>
      </c>
      <c r="X93">
        <f t="shared" ref="X93:X96" si="239">0*I93</f>
        <v>0</v>
      </c>
      <c r="Y93">
        <f t="shared" ref="Y93:Y96" si="240">0*J93</f>
        <v>0</v>
      </c>
      <c r="Z93">
        <f t="shared" ref="Z93:Z96" si="241">0*K93</f>
        <v>0</v>
      </c>
      <c r="AA93">
        <f t="shared" ref="AA93:AA96" si="242">0*L93</f>
        <v>0</v>
      </c>
      <c r="AB93">
        <f t="shared" ref="AB93:AB96" si="243">0*M93</f>
        <v>0</v>
      </c>
      <c r="AC93">
        <f t="shared" ref="AC93:AC96" si="244">0*N93</f>
        <v>0</v>
      </c>
      <c r="AD93">
        <f t="shared" ref="AD93:AD96" si="245">0*O93</f>
        <v>0</v>
      </c>
    </row>
    <row r="94" spans="1:30" x14ac:dyDescent="0.2">
      <c r="A94" t="s">
        <v>31</v>
      </c>
      <c r="B94" t="s">
        <v>127</v>
      </c>
      <c r="C94">
        <v>0.36599999999999999</v>
      </c>
      <c r="D94">
        <v>0.36199999999999999</v>
      </c>
      <c r="E94">
        <v>0.35099999999999998</v>
      </c>
      <c r="F94">
        <v>0.33</v>
      </c>
      <c r="G94">
        <v>0.28499999999999998</v>
      </c>
      <c r="H94">
        <v>0.185</v>
      </c>
      <c r="I94">
        <v>7.9000000000000001E-2</v>
      </c>
      <c r="J94">
        <v>4.2000000000000003E-2</v>
      </c>
      <c r="K94">
        <v>2.4E-2</v>
      </c>
      <c r="L94">
        <v>1.4999999999999999E-2</v>
      </c>
      <c r="M94">
        <v>1.2E-2</v>
      </c>
      <c r="N94">
        <v>1.0999999999999999E-2</v>
      </c>
      <c r="O94">
        <v>1.056E-2</v>
      </c>
      <c r="P94" t="s">
        <v>3</v>
      </c>
      <c r="Q94" t="str">
        <f>VLOOKUP(A94,types,3)</f>
        <v>leemarm, zeer fijn tot matig fijn zand</v>
      </c>
      <c r="R94">
        <f t="shared" ref="R94:R96" si="246">0*C94</f>
        <v>0</v>
      </c>
      <c r="S94">
        <f t="shared" si="234"/>
        <v>0</v>
      </c>
      <c r="T94">
        <f t="shared" si="235"/>
        <v>0</v>
      </c>
      <c r="U94">
        <f t="shared" si="236"/>
        <v>0</v>
      </c>
      <c r="V94">
        <f t="shared" si="237"/>
        <v>0</v>
      </c>
      <c r="W94">
        <f t="shared" si="238"/>
        <v>0</v>
      </c>
      <c r="X94">
        <f t="shared" si="239"/>
        <v>0</v>
      </c>
      <c r="Y94">
        <f t="shared" si="240"/>
        <v>0</v>
      </c>
      <c r="Z94">
        <f t="shared" si="241"/>
        <v>0</v>
      </c>
      <c r="AA94">
        <f t="shared" si="242"/>
        <v>0</v>
      </c>
      <c r="AB94">
        <f t="shared" si="243"/>
        <v>0</v>
      </c>
      <c r="AC94">
        <f t="shared" si="244"/>
        <v>0</v>
      </c>
      <c r="AD94">
        <f t="shared" si="245"/>
        <v>0</v>
      </c>
    </row>
    <row r="95" spans="1:30" x14ac:dyDescent="0.2">
      <c r="A95" t="s">
        <v>31</v>
      </c>
      <c r="B95" t="s">
        <v>126</v>
      </c>
      <c r="C95">
        <v>0</v>
      </c>
      <c r="D95">
        <v>9.9</v>
      </c>
      <c r="E95">
        <v>19.899999999999999</v>
      </c>
      <c r="F95">
        <v>30.7</v>
      </c>
      <c r="G95">
        <v>49.1</v>
      </c>
      <c r="H95">
        <v>85.7</v>
      </c>
      <c r="I95">
        <v>95.6</v>
      </c>
      <c r="J95">
        <v>95.6</v>
      </c>
      <c r="K95">
        <v>95.6</v>
      </c>
      <c r="L95">
        <v>95.6</v>
      </c>
      <c r="M95">
        <v>95.6</v>
      </c>
      <c r="N95">
        <v>95.6</v>
      </c>
      <c r="O95">
        <v>95.6</v>
      </c>
      <c r="P95" t="s">
        <v>3</v>
      </c>
      <c r="Q95" t="str">
        <f>VLOOKUP(A95,types,3)</f>
        <v>leemarm, zeer fijn tot matig fijn zand</v>
      </c>
      <c r="R95">
        <f t="shared" si="246"/>
        <v>0</v>
      </c>
      <c r="S95">
        <f t="shared" si="234"/>
        <v>0</v>
      </c>
      <c r="T95">
        <f t="shared" si="235"/>
        <v>0</v>
      </c>
      <c r="U95">
        <f t="shared" si="236"/>
        <v>0</v>
      </c>
      <c r="V95">
        <f t="shared" si="237"/>
        <v>0</v>
      </c>
      <c r="W95">
        <f t="shared" si="238"/>
        <v>0</v>
      </c>
      <c r="X95">
        <f t="shared" si="239"/>
        <v>0</v>
      </c>
      <c r="Y95">
        <f t="shared" si="240"/>
        <v>0</v>
      </c>
      <c r="Z95">
        <f t="shared" si="241"/>
        <v>0</v>
      </c>
      <c r="AA95">
        <f t="shared" si="242"/>
        <v>0</v>
      </c>
      <c r="AB95">
        <f t="shared" si="243"/>
        <v>0</v>
      </c>
      <c r="AC95">
        <f t="shared" si="244"/>
        <v>0</v>
      </c>
      <c r="AD95">
        <f t="shared" si="245"/>
        <v>0</v>
      </c>
    </row>
    <row r="96" spans="1:30" x14ac:dyDescent="0.2">
      <c r="A96" t="s">
        <v>31</v>
      </c>
      <c r="B96" t="s">
        <v>111</v>
      </c>
      <c r="C96">
        <v>0</v>
      </c>
      <c r="D96">
        <v>9.9</v>
      </c>
      <c r="E96">
        <v>19.8</v>
      </c>
      <c r="F96">
        <v>30.5</v>
      </c>
      <c r="G96">
        <v>48.3</v>
      </c>
      <c r="H96">
        <v>78.400000000000006</v>
      </c>
      <c r="I96">
        <v>84</v>
      </c>
      <c r="J96">
        <v>84</v>
      </c>
      <c r="K96">
        <v>84</v>
      </c>
      <c r="L96">
        <v>84</v>
      </c>
      <c r="M96">
        <v>84</v>
      </c>
      <c r="N96">
        <v>84</v>
      </c>
      <c r="O96">
        <v>84</v>
      </c>
      <c r="P96" t="s">
        <v>3</v>
      </c>
      <c r="Q96" t="str">
        <f>VLOOKUP(A96,types,3)</f>
        <v>leemarm, zeer fijn tot matig fijn zand</v>
      </c>
      <c r="R96">
        <f t="shared" si="246"/>
        <v>0</v>
      </c>
      <c r="S96">
        <f t="shared" si="234"/>
        <v>0</v>
      </c>
      <c r="T96">
        <f t="shared" si="235"/>
        <v>0</v>
      </c>
      <c r="U96">
        <f t="shared" si="236"/>
        <v>0</v>
      </c>
      <c r="V96">
        <f t="shared" si="237"/>
        <v>0</v>
      </c>
      <c r="W96">
        <f t="shared" si="238"/>
        <v>0</v>
      </c>
      <c r="X96">
        <f t="shared" si="239"/>
        <v>0</v>
      </c>
      <c r="Y96">
        <f t="shared" si="240"/>
        <v>0</v>
      </c>
      <c r="Z96">
        <f t="shared" si="241"/>
        <v>0</v>
      </c>
      <c r="AA96">
        <f t="shared" si="242"/>
        <v>0</v>
      </c>
      <c r="AB96">
        <f t="shared" si="243"/>
        <v>0</v>
      </c>
      <c r="AC96">
        <f t="shared" si="244"/>
        <v>0</v>
      </c>
      <c r="AD96">
        <f t="shared" si="245"/>
        <v>0</v>
      </c>
    </row>
    <row r="98" spans="1:30" x14ac:dyDescent="0.2">
      <c r="A98" t="s">
        <v>32</v>
      </c>
      <c r="B98" t="s">
        <v>121</v>
      </c>
      <c r="C98">
        <v>22.76</v>
      </c>
      <c r="D98">
        <v>8.44</v>
      </c>
      <c r="E98">
        <v>4.54</v>
      </c>
      <c r="F98">
        <v>2.4700000000000002</v>
      </c>
      <c r="G98" s="4">
        <v>0.97299999999999998</v>
      </c>
      <c r="H98" s="4">
        <v>0.14399999999999999</v>
      </c>
      <c r="I98" s="4">
        <v>5.0899999999999999E-3</v>
      </c>
      <c r="J98" s="4">
        <v>2.9700000000000001E-4</v>
      </c>
      <c r="K98" s="4">
        <v>1.5699999999999999E-5</v>
      </c>
      <c r="L98" s="4">
        <v>3.0400000000000002E-7</v>
      </c>
      <c r="M98" s="4">
        <v>1.52E-8</v>
      </c>
      <c r="N98" s="4">
        <v>7.5899999999999996E-10</v>
      </c>
      <c r="O98" s="4">
        <v>9.9299999999999996E-11</v>
      </c>
      <c r="P98" t="s">
        <v>3</v>
      </c>
      <c r="Q98" t="str">
        <f>VLOOKUP(A98,types,3)</f>
        <v>zwak lemig, zeer fijn tot matig fijn zand</v>
      </c>
      <c r="R98">
        <f>0*C98</f>
        <v>0</v>
      </c>
      <c r="S98">
        <f t="shared" ref="S98:S101" si="247">0*D98</f>
        <v>0</v>
      </c>
      <c r="T98">
        <f t="shared" ref="T98:T101" si="248">0*E98</f>
        <v>0</v>
      </c>
      <c r="U98">
        <f t="shared" ref="U98:U101" si="249">0*F98</f>
        <v>0</v>
      </c>
      <c r="V98">
        <f t="shared" ref="V98:V101" si="250">0*G98</f>
        <v>0</v>
      </c>
      <c r="W98">
        <f t="shared" ref="W98:W101" si="251">0*H98</f>
        <v>0</v>
      </c>
      <c r="X98">
        <f t="shared" ref="X98:X101" si="252">0*I98</f>
        <v>0</v>
      </c>
      <c r="Y98">
        <f t="shared" ref="Y98:Y101" si="253">0*J98</f>
        <v>0</v>
      </c>
      <c r="Z98">
        <f t="shared" ref="Z98:Z101" si="254">0*K98</f>
        <v>0</v>
      </c>
      <c r="AA98">
        <f t="shared" ref="AA98:AA101" si="255">0*L98</f>
        <v>0</v>
      </c>
      <c r="AB98">
        <f t="shared" ref="AB98:AB101" si="256">0*M98</f>
        <v>0</v>
      </c>
      <c r="AC98">
        <f t="shared" ref="AC98:AC101" si="257">0*N98</f>
        <v>0</v>
      </c>
      <c r="AD98">
        <f t="shared" ref="AD98:AD101" si="258">0*O98</f>
        <v>0</v>
      </c>
    </row>
    <row r="99" spans="1:30" x14ac:dyDescent="0.2">
      <c r="A99" t="s">
        <v>32</v>
      </c>
      <c r="B99" t="s">
        <v>127</v>
      </c>
      <c r="C99">
        <v>0.38700000000000001</v>
      </c>
      <c r="D99">
        <v>0.38</v>
      </c>
      <c r="E99">
        <v>0.36699999999999999</v>
      </c>
      <c r="F99">
        <v>0.35099999999999998</v>
      </c>
      <c r="G99">
        <v>0.32500000000000001</v>
      </c>
      <c r="H99">
        <v>0.27</v>
      </c>
      <c r="I99">
        <v>0.19</v>
      </c>
      <c r="J99">
        <v>0.14099999999999999</v>
      </c>
      <c r="K99">
        <v>0.105</v>
      </c>
      <c r="L99">
        <v>7.2999999999999995E-2</v>
      </c>
      <c r="M99">
        <v>5.7000000000000002E-2</v>
      </c>
      <c r="N99">
        <v>4.5999999999999999E-2</v>
      </c>
      <c r="O99">
        <v>3.9980000000000002E-2</v>
      </c>
      <c r="P99" t="s">
        <v>3</v>
      </c>
      <c r="Q99" t="str">
        <f>VLOOKUP(A99,types,3)</f>
        <v>zwak lemig, zeer fijn tot matig fijn zand</v>
      </c>
      <c r="R99">
        <f t="shared" ref="R99:R101" si="259">0*C99</f>
        <v>0</v>
      </c>
      <c r="S99">
        <f t="shared" si="247"/>
        <v>0</v>
      </c>
      <c r="T99">
        <f t="shared" si="248"/>
        <v>0</v>
      </c>
      <c r="U99">
        <f t="shared" si="249"/>
        <v>0</v>
      </c>
      <c r="V99">
        <f t="shared" si="250"/>
        <v>0</v>
      </c>
      <c r="W99">
        <f t="shared" si="251"/>
        <v>0</v>
      </c>
      <c r="X99">
        <f t="shared" si="252"/>
        <v>0</v>
      </c>
      <c r="Y99">
        <f t="shared" si="253"/>
        <v>0</v>
      </c>
      <c r="Z99">
        <f t="shared" si="254"/>
        <v>0</v>
      </c>
      <c r="AA99">
        <f t="shared" si="255"/>
        <v>0</v>
      </c>
      <c r="AB99">
        <f t="shared" si="256"/>
        <v>0</v>
      </c>
      <c r="AC99">
        <f t="shared" si="257"/>
        <v>0</v>
      </c>
      <c r="AD99">
        <f t="shared" si="258"/>
        <v>0</v>
      </c>
    </row>
    <row r="100" spans="1:30" x14ac:dyDescent="0.2">
      <c r="A100" t="s">
        <v>32</v>
      </c>
      <c r="B100" t="s">
        <v>126</v>
      </c>
      <c r="C100">
        <v>0</v>
      </c>
      <c r="D100">
        <v>9.9</v>
      </c>
      <c r="E100">
        <v>19.8</v>
      </c>
      <c r="F100">
        <v>30.4</v>
      </c>
      <c r="G100">
        <v>48.2</v>
      </c>
      <c r="H100">
        <v>86.5</v>
      </c>
      <c r="I100">
        <v>119.6</v>
      </c>
      <c r="J100">
        <v>123.1</v>
      </c>
      <c r="K100">
        <v>123.6</v>
      </c>
      <c r="L100">
        <v>123.6</v>
      </c>
      <c r="M100">
        <v>123.6</v>
      </c>
      <c r="N100">
        <v>123.6</v>
      </c>
      <c r="O100">
        <v>123.6</v>
      </c>
      <c r="P100" t="s">
        <v>3</v>
      </c>
      <c r="Q100" t="str">
        <f>VLOOKUP(A100,types,3)</f>
        <v>zwak lemig, zeer fijn tot matig fijn zand</v>
      </c>
      <c r="R100">
        <f t="shared" si="259"/>
        <v>0</v>
      </c>
      <c r="S100">
        <f t="shared" si="247"/>
        <v>0</v>
      </c>
      <c r="T100">
        <f t="shared" si="248"/>
        <v>0</v>
      </c>
      <c r="U100">
        <f t="shared" si="249"/>
        <v>0</v>
      </c>
      <c r="V100">
        <f t="shared" si="250"/>
        <v>0</v>
      </c>
      <c r="W100">
        <f t="shared" si="251"/>
        <v>0</v>
      </c>
      <c r="X100">
        <f t="shared" si="252"/>
        <v>0</v>
      </c>
      <c r="Y100">
        <f t="shared" si="253"/>
        <v>0</v>
      </c>
      <c r="Z100">
        <f t="shared" si="254"/>
        <v>0</v>
      </c>
      <c r="AA100">
        <f t="shared" si="255"/>
        <v>0</v>
      </c>
      <c r="AB100">
        <f t="shared" si="256"/>
        <v>0</v>
      </c>
      <c r="AC100">
        <f t="shared" si="257"/>
        <v>0</v>
      </c>
      <c r="AD100">
        <f t="shared" si="258"/>
        <v>0</v>
      </c>
    </row>
    <row r="101" spans="1:30" x14ac:dyDescent="0.2">
      <c r="A101" t="s">
        <v>32</v>
      </c>
      <c r="B101" t="s">
        <v>111</v>
      </c>
      <c r="C101">
        <v>0</v>
      </c>
      <c r="D101">
        <v>9.8000000000000007</v>
      </c>
      <c r="E101">
        <v>19.5</v>
      </c>
      <c r="F101">
        <v>29.9</v>
      </c>
      <c r="G101">
        <v>46.6</v>
      </c>
      <c r="H101">
        <v>78.099999999999994</v>
      </c>
      <c r="I101">
        <v>98.1</v>
      </c>
      <c r="J101">
        <v>99.9</v>
      </c>
      <c r="K101">
        <v>100.1</v>
      </c>
      <c r="L101">
        <v>100.1</v>
      </c>
      <c r="M101">
        <v>100.1</v>
      </c>
      <c r="N101">
        <v>100.1</v>
      </c>
      <c r="O101">
        <v>100.1</v>
      </c>
      <c r="P101" t="s">
        <v>3</v>
      </c>
      <c r="Q101" t="str">
        <f>VLOOKUP(A101,types,3)</f>
        <v>zwak lemig, zeer fijn tot matig fijn zand</v>
      </c>
      <c r="R101">
        <f t="shared" si="259"/>
        <v>0</v>
      </c>
      <c r="S101">
        <f t="shared" si="247"/>
        <v>0</v>
      </c>
      <c r="T101">
        <f t="shared" si="248"/>
        <v>0</v>
      </c>
      <c r="U101">
        <f t="shared" si="249"/>
        <v>0</v>
      </c>
      <c r="V101">
        <f t="shared" si="250"/>
        <v>0</v>
      </c>
      <c r="W101">
        <f t="shared" si="251"/>
        <v>0</v>
      </c>
      <c r="X101">
        <f t="shared" si="252"/>
        <v>0</v>
      </c>
      <c r="Y101">
        <f t="shared" si="253"/>
        <v>0</v>
      </c>
      <c r="Z101">
        <f t="shared" si="254"/>
        <v>0</v>
      </c>
      <c r="AA101">
        <f t="shared" si="255"/>
        <v>0</v>
      </c>
      <c r="AB101">
        <f t="shared" si="256"/>
        <v>0</v>
      </c>
      <c r="AC101">
        <f t="shared" si="257"/>
        <v>0</v>
      </c>
      <c r="AD101">
        <f t="shared" si="258"/>
        <v>0</v>
      </c>
    </row>
    <row r="103" spans="1:30" x14ac:dyDescent="0.2">
      <c r="A103" t="s">
        <v>33</v>
      </c>
      <c r="B103" t="s">
        <v>121</v>
      </c>
      <c r="C103">
        <v>12.37</v>
      </c>
      <c r="D103">
        <v>6.33</v>
      </c>
      <c r="E103">
        <v>3.82</v>
      </c>
      <c r="F103">
        <v>2.29</v>
      </c>
      <c r="G103">
        <v>1.04</v>
      </c>
      <c r="H103">
        <v>0.20399999999999999</v>
      </c>
      <c r="I103" s="4">
        <v>1.2999999999999999E-2</v>
      </c>
      <c r="J103" s="4">
        <v>1.32E-3</v>
      </c>
      <c r="K103" s="4">
        <v>1.2799999999999999E-4</v>
      </c>
      <c r="L103" s="4">
        <v>5.6799999999999998E-6</v>
      </c>
      <c r="M103" s="4">
        <v>5.3600000000000004E-7</v>
      </c>
      <c r="N103" s="4">
        <v>5.0600000000000003E-8</v>
      </c>
      <c r="O103" s="4">
        <v>1.02E-8</v>
      </c>
      <c r="P103" t="s">
        <v>3</v>
      </c>
      <c r="Q103" t="str">
        <f>VLOOKUP(A103,types,3)</f>
        <v>sterk lemig, zeer fijn tot matig fijn zand</v>
      </c>
      <c r="R103">
        <f>0*C103</f>
        <v>0</v>
      </c>
      <c r="S103">
        <f t="shared" ref="S103:S106" si="260">0*D103</f>
        <v>0</v>
      </c>
      <c r="T103">
        <f t="shared" ref="T103:T106" si="261">0*E103</f>
        <v>0</v>
      </c>
      <c r="U103">
        <f t="shared" ref="U103:U106" si="262">0*F103</f>
        <v>0</v>
      </c>
      <c r="V103">
        <f t="shared" ref="V103:V106" si="263">0*G103</f>
        <v>0</v>
      </c>
      <c r="W103">
        <f t="shared" ref="W103:W106" si="264">0*H103</f>
        <v>0</v>
      </c>
      <c r="X103">
        <f t="shared" ref="X103:X106" si="265">0*I103</f>
        <v>0</v>
      </c>
      <c r="Y103">
        <f t="shared" ref="Y103:Y106" si="266">0*J103</f>
        <v>0</v>
      </c>
      <c r="Z103">
        <f t="shared" ref="Z103:Z106" si="267">0*K103</f>
        <v>0</v>
      </c>
      <c r="AA103">
        <f t="shared" ref="AA103:AA106" si="268">0*L103</f>
        <v>0</v>
      </c>
      <c r="AB103">
        <f t="shared" ref="AB103:AB106" si="269">0*M103</f>
        <v>0</v>
      </c>
      <c r="AC103">
        <f t="shared" ref="AC103:AC106" si="270">0*N103</f>
        <v>0</v>
      </c>
      <c r="AD103">
        <f t="shared" ref="AD103:AD106" si="271">0*O103</f>
        <v>0</v>
      </c>
    </row>
    <row r="104" spans="1:30" x14ac:dyDescent="0.2">
      <c r="A104" t="s">
        <v>33</v>
      </c>
      <c r="B104" t="s">
        <v>127</v>
      </c>
      <c r="C104">
        <v>0.34</v>
      </c>
      <c r="D104">
        <v>0.33300000000000002</v>
      </c>
      <c r="E104">
        <v>0.32</v>
      </c>
      <c r="F104">
        <v>0.30199999999999999</v>
      </c>
      <c r="G104">
        <v>0.27</v>
      </c>
      <c r="H104">
        <v>0.20599999999999999</v>
      </c>
      <c r="I104">
        <v>0.124</v>
      </c>
      <c r="J104">
        <v>8.2000000000000003E-2</v>
      </c>
      <c r="K104">
        <v>5.3999999999999999E-2</v>
      </c>
      <c r="L104">
        <v>3.3000000000000002E-2</v>
      </c>
      <c r="M104">
        <v>2.4E-2</v>
      </c>
      <c r="N104">
        <v>1.9E-2</v>
      </c>
      <c r="O104">
        <v>1.6330000000000001E-2</v>
      </c>
      <c r="P104" t="s">
        <v>3</v>
      </c>
      <c r="Q104" t="str">
        <f>VLOOKUP(A104,types,3)</f>
        <v>sterk lemig, zeer fijn tot matig fijn zand</v>
      </c>
      <c r="R104">
        <f t="shared" ref="R104:R106" si="272">0*C104</f>
        <v>0</v>
      </c>
      <c r="S104">
        <f t="shared" si="260"/>
        <v>0</v>
      </c>
      <c r="T104">
        <f t="shared" si="261"/>
        <v>0</v>
      </c>
      <c r="U104">
        <f t="shared" si="262"/>
        <v>0</v>
      </c>
      <c r="V104">
        <f t="shared" si="263"/>
        <v>0</v>
      </c>
      <c r="W104">
        <f t="shared" si="264"/>
        <v>0</v>
      </c>
      <c r="X104">
        <f t="shared" si="265"/>
        <v>0</v>
      </c>
      <c r="Y104">
        <f t="shared" si="266"/>
        <v>0</v>
      </c>
      <c r="Z104">
        <f t="shared" si="267"/>
        <v>0</v>
      </c>
      <c r="AA104">
        <f t="shared" si="268"/>
        <v>0</v>
      </c>
      <c r="AB104">
        <f t="shared" si="269"/>
        <v>0</v>
      </c>
      <c r="AC104">
        <f t="shared" si="270"/>
        <v>0</v>
      </c>
      <c r="AD104">
        <f t="shared" si="271"/>
        <v>0</v>
      </c>
    </row>
    <row r="105" spans="1:30" x14ac:dyDescent="0.2">
      <c r="A105" t="s">
        <v>33</v>
      </c>
      <c r="B105" t="s">
        <v>126</v>
      </c>
      <c r="C105">
        <v>0</v>
      </c>
      <c r="D105">
        <v>9.9</v>
      </c>
      <c r="E105">
        <v>19.7</v>
      </c>
      <c r="F105">
        <v>30.3</v>
      </c>
      <c r="G105">
        <v>48.1</v>
      </c>
      <c r="H105">
        <v>88.3</v>
      </c>
      <c r="I105">
        <v>136.9</v>
      </c>
      <c r="J105">
        <v>147.6</v>
      </c>
      <c r="K105">
        <v>149.80000000000001</v>
      </c>
      <c r="L105">
        <v>150.30000000000001</v>
      </c>
      <c r="M105">
        <v>150.30000000000001</v>
      </c>
      <c r="N105">
        <v>150.4</v>
      </c>
      <c r="O105">
        <v>150.4</v>
      </c>
      <c r="P105" t="s">
        <v>3</v>
      </c>
      <c r="Q105" t="str">
        <f>VLOOKUP(A105,types,3)</f>
        <v>sterk lemig, zeer fijn tot matig fijn zand</v>
      </c>
      <c r="R105">
        <f t="shared" si="272"/>
        <v>0</v>
      </c>
      <c r="S105">
        <f t="shared" si="260"/>
        <v>0</v>
      </c>
      <c r="T105">
        <f t="shared" si="261"/>
        <v>0</v>
      </c>
      <c r="U105">
        <f t="shared" si="262"/>
        <v>0</v>
      </c>
      <c r="V105">
        <f t="shared" si="263"/>
        <v>0</v>
      </c>
      <c r="W105">
        <f t="shared" si="264"/>
        <v>0</v>
      </c>
      <c r="X105">
        <f t="shared" si="265"/>
        <v>0</v>
      </c>
      <c r="Y105">
        <f t="shared" si="266"/>
        <v>0</v>
      </c>
      <c r="Z105">
        <f t="shared" si="267"/>
        <v>0</v>
      </c>
      <c r="AA105">
        <f t="shared" si="268"/>
        <v>0</v>
      </c>
      <c r="AB105">
        <f t="shared" si="269"/>
        <v>0</v>
      </c>
      <c r="AC105">
        <f t="shared" si="270"/>
        <v>0</v>
      </c>
      <c r="AD105">
        <f t="shared" si="271"/>
        <v>0</v>
      </c>
    </row>
    <row r="106" spans="1:30" x14ac:dyDescent="0.2">
      <c r="A106" t="s">
        <v>33</v>
      </c>
      <c r="B106" t="s">
        <v>111</v>
      </c>
      <c r="C106">
        <v>0</v>
      </c>
      <c r="D106">
        <v>9.8000000000000007</v>
      </c>
      <c r="E106">
        <v>19.399999999999999</v>
      </c>
      <c r="F106">
        <v>29.7</v>
      </c>
      <c r="G106">
        <v>46.4</v>
      </c>
      <c r="H106">
        <v>80.3</v>
      </c>
      <c r="I106">
        <v>111.2</v>
      </c>
      <c r="J106">
        <v>116.6</v>
      </c>
      <c r="K106">
        <v>117.8</v>
      </c>
      <c r="L106">
        <v>118</v>
      </c>
      <c r="M106">
        <v>118</v>
      </c>
      <c r="N106">
        <v>118</v>
      </c>
      <c r="O106">
        <v>118</v>
      </c>
      <c r="P106" t="s">
        <v>3</v>
      </c>
      <c r="Q106" t="str">
        <f>VLOOKUP(A106,types,3)</f>
        <v>sterk lemig, zeer fijn tot matig fijn zand</v>
      </c>
      <c r="R106">
        <f t="shared" si="272"/>
        <v>0</v>
      </c>
      <c r="S106">
        <f t="shared" si="260"/>
        <v>0</v>
      </c>
      <c r="T106">
        <f t="shared" si="261"/>
        <v>0</v>
      </c>
      <c r="U106">
        <f t="shared" si="262"/>
        <v>0</v>
      </c>
      <c r="V106">
        <f t="shared" si="263"/>
        <v>0</v>
      </c>
      <c r="W106">
        <f t="shared" si="264"/>
        <v>0</v>
      </c>
      <c r="X106">
        <f t="shared" si="265"/>
        <v>0</v>
      </c>
      <c r="Y106">
        <f t="shared" si="266"/>
        <v>0</v>
      </c>
      <c r="Z106">
        <f t="shared" si="267"/>
        <v>0</v>
      </c>
      <c r="AA106">
        <f t="shared" si="268"/>
        <v>0</v>
      </c>
      <c r="AB106">
        <f t="shared" si="269"/>
        <v>0</v>
      </c>
      <c r="AC106">
        <f t="shared" si="270"/>
        <v>0</v>
      </c>
      <c r="AD106">
        <f t="shared" si="271"/>
        <v>0</v>
      </c>
    </row>
    <row r="108" spans="1:30" x14ac:dyDescent="0.2">
      <c r="A108" t="s">
        <v>34</v>
      </c>
      <c r="B108" t="s">
        <v>121</v>
      </c>
      <c r="C108">
        <v>25.81</v>
      </c>
      <c r="D108">
        <v>9.83</v>
      </c>
      <c r="E108">
        <v>5.69</v>
      </c>
      <c r="F108">
        <v>3.36</v>
      </c>
      <c r="G108">
        <v>1.51</v>
      </c>
      <c r="H108">
        <v>0.28699999999999998</v>
      </c>
      <c r="I108" s="4">
        <v>1.44E-2</v>
      </c>
      <c r="J108" s="4">
        <v>1.06E-3</v>
      </c>
      <c r="K108" s="4">
        <v>6.9099999999999999E-5</v>
      </c>
      <c r="L108" s="4">
        <v>7.7600000000000002E-6</v>
      </c>
      <c r="M108" s="4">
        <v>1.0700000000000001E-7</v>
      </c>
      <c r="N108" s="4">
        <v>6.5400000000000002E-9</v>
      </c>
      <c r="O108" s="4">
        <v>9.7900000000000003E-10</v>
      </c>
      <c r="P108" t="s">
        <v>3</v>
      </c>
      <c r="Q108" t="str">
        <f>VLOOKUP(A108,types,3)</f>
        <v>zeer sterk lemig, zeer fijn tot matig fijn zand</v>
      </c>
      <c r="R108">
        <f>0*C108</f>
        <v>0</v>
      </c>
      <c r="S108">
        <f t="shared" ref="S108:S111" si="273">0*D108</f>
        <v>0</v>
      </c>
      <c r="T108">
        <f t="shared" ref="T108:T111" si="274">0*E108</f>
        <v>0</v>
      </c>
      <c r="U108">
        <f t="shared" ref="U108:U111" si="275">0*F108</f>
        <v>0</v>
      </c>
      <c r="V108">
        <f t="shared" ref="V108:V111" si="276">0*G108</f>
        <v>0</v>
      </c>
      <c r="W108">
        <f t="shared" ref="W108:W111" si="277">0*H108</f>
        <v>0</v>
      </c>
      <c r="X108">
        <f t="shared" ref="X108:X111" si="278">0*I108</f>
        <v>0</v>
      </c>
      <c r="Y108">
        <f t="shared" ref="Y108:Y111" si="279">0*J108</f>
        <v>0</v>
      </c>
      <c r="Z108">
        <f t="shared" ref="Z108:Z111" si="280">0*K108</f>
        <v>0</v>
      </c>
      <c r="AA108">
        <f t="shared" ref="AA108:AA111" si="281">0*L108</f>
        <v>0</v>
      </c>
      <c r="AB108">
        <f t="shared" ref="AB108:AB111" si="282">0*M108</f>
        <v>0</v>
      </c>
      <c r="AC108">
        <f t="shared" ref="AC108:AC111" si="283">0*N108</f>
        <v>0</v>
      </c>
      <c r="AD108">
        <f t="shared" ref="AD108:AD111" si="284">0*O108</f>
        <v>0</v>
      </c>
    </row>
    <row r="109" spans="1:30" x14ac:dyDescent="0.2">
      <c r="A109" t="s">
        <v>34</v>
      </c>
      <c r="B109" t="s">
        <v>127</v>
      </c>
      <c r="C109">
        <v>0.36399999999999999</v>
      </c>
      <c r="D109">
        <v>0.35799999999999998</v>
      </c>
      <c r="E109">
        <v>0.34899999999999998</v>
      </c>
      <c r="F109">
        <v>0.33700000000000002</v>
      </c>
      <c r="G109">
        <v>0.316</v>
      </c>
      <c r="H109">
        <v>0.26900000000000002</v>
      </c>
      <c r="I109">
        <v>0.19500000000000001</v>
      </c>
      <c r="J109">
        <v>0.14599999999999999</v>
      </c>
      <c r="K109">
        <v>0.108</v>
      </c>
      <c r="L109">
        <v>7.2999999999999995E-2</v>
      </c>
      <c r="M109">
        <v>5.5E-2</v>
      </c>
      <c r="N109">
        <v>4.2000000000000003E-2</v>
      </c>
      <c r="O109">
        <v>3.5499999999999997E-2</v>
      </c>
      <c r="P109" t="s">
        <v>3</v>
      </c>
      <c r="Q109" t="str">
        <f>VLOOKUP(A109,types,3)</f>
        <v>zeer sterk lemig, zeer fijn tot matig fijn zand</v>
      </c>
      <c r="R109">
        <f t="shared" ref="R109:R111" si="285">0*C109</f>
        <v>0</v>
      </c>
      <c r="S109">
        <f t="shared" si="273"/>
        <v>0</v>
      </c>
      <c r="T109">
        <f t="shared" si="274"/>
        <v>0</v>
      </c>
      <c r="U109">
        <f t="shared" si="275"/>
        <v>0</v>
      </c>
      <c r="V109">
        <f t="shared" si="276"/>
        <v>0</v>
      </c>
      <c r="W109">
        <f t="shared" si="277"/>
        <v>0</v>
      </c>
      <c r="X109">
        <f t="shared" si="278"/>
        <v>0</v>
      </c>
      <c r="Y109">
        <f t="shared" si="279"/>
        <v>0</v>
      </c>
      <c r="Z109">
        <f t="shared" si="280"/>
        <v>0</v>
      </c>
      <c r="AA109">
        <f t="shared" si="281"/>
        <v>0</v>
      </c>
      <c r="AB109">
        <f t="shared" si="282"/>
        <v>0</v>
      </c>
      <c r="AC109">
        <f t="shared" si="283"/>
        <v>0</v>
      </c>
      <c r="AD109">
        <f t="shared" si="284"/>
        <v>0</v>
      </c>
    </row>
    <row r="110" spans="1:30" x14ac:dyDescent="0.2">
      <c r="A110" t="s">
        <v>34</v>
      </c>
      <c r="B110" t="s">
        <v>126</v>
      </c>
      <c r="C110">
        <v>0</v>
      </c>
      <c r="D110">
        <v>9.9</v>
      </c>
      <c r="E110">
        <v>19.8</v>
      </c>
      <c r="F110">
        <v>30.5</v>
      </c>
      <c r="G110">
        <v>48.7</v>
      </c>
      <c r="H110">
        <v>91.4</v>
      </c>
      <c r="I110">
        <v>147</v>
      </c>
      <c r="J110">
        <v>157.5</v>
      </c>
      <c r="K110">
        <v>159.1</v>
      </c>
      <c r="L110">
        <v>159.30000000000001</v>
      </c>
      <c r="M110">
        <v>159.30000000000001</v>
      </c>
      <c r="N110">
        <v>159.30000000000001</v>
      </c>
      <c r="O110">
        <v>159.30000000000001</v>
      </c>
      <c r="P110" t="s">
        <v>3</v>
      </c>
      <c r="Q110" t="str">
        <f>VLOOKUP(A110,types,3)</f>
        <v>zeer sterk lemig, zeer fijn tot matig fijn zand</v>
      </c>
      <c r="R110">
        <f t="shared" si="285"/>
        <v>0</v>
      </c>
      <c r="S110">
        <f t="shared" si="273"/>
        <v>0</v>
      </c>
      <c r="T110">
        <f t="shared" si="274"/>
        <v>0</v>
      </c>
      <c r="U110">
        <f t="shared" si="275"/>
        <v>0</v>
      </c>
      <c r="V110">
        <f t="shared" si="276"/>
        <v>0</v>
      </c>
      <c r="W110">
        <f t="shared" si="277"/>
        <v>0</v>
      </c>
      <c r="X110">
        <f t="shared" si="278"/>
        <v>0</v>
      </c>
      <c r="Y110">
        <f t="shared" si="279"/>
        <v>0</v>
      </c>
      <c r="Z110">
        <f t="shared" si="280"/>
        <v>0</v>
      </c>
      <c r="AA110">
        <f t="shared" si="281"/>
        <v>0</v>
      </c>
      <c r="AB110">
        <f t="shared" si="282"/>
        <v>0</v>
      </c>
      <c r="AC110">
        <f t="shared" si="283"/>
        <v>0</v>
      </c>
      <c r="AD110">
        <f t="shared" si="284"/>
        <v>0</v>
      </c>
    </row>
    <row r="111" spans="1:30" x14ac:dyDescent="0.2">
      <c r="A111" t="s">
        <v>34</v>
      </c>
      <c r="B111" t="s">
        <v>111</v>
      </c>
      <c r="C111">
        <v>0</v>
      </c>
      <c r="D111">
        <v>9.9</v>
      </c>
      <c r="E111">
        <v>19.600000000000001</v>
      </c>
      <c r="F111">
        <v>30.1</v>
      </c>
      <c r="G111">
        <v>47.5</v>
      </c>
      <c r="H111">
        <v>84.9</v>
      </c>
      <c r="I111">
        <v>121.6</v>
      </c>
      <c r="J111">
        <v>127.1</v>
      </c>
      <c r="K111">
        <v>127.9</v>
      </c>
      <c r="L111">
        <v>128</v>
      </c>
      <c r="M111">
        <v>128</v>
      </c>
      <c r="N111">
        <v>128</v>
      </c>
      <c r="O111">
        <v>128</v>
      </c>
      <c r="P111" t="s">
        <v>3</v>
      </c>
      <c r="Q111" t="str">
        <f>VLOOKUP(A111,types,3)</f>
        <v>zeer sterk lemig, zeer fijn tot matig fijn zand</v>
      </c>
      <c r="R111">
        <f t="shared" si="285"/>
        <v>0</v>
      </c>
      <c r="S111">
        <f t="shared" si="273"/>
        <v>0</v>
      </c>
      <c r="T111">
        <f t="shared" si="274"/>
        <v>0</v>
      </c>
      <c r="U111">
        <f t="shared" si="275"/>
        <v>0</v>
      </c>
      <c r="V111">
        <f t="shared" si="276"/>
        <v>0</v>
      </c>
      <c r="W111">
        <f t="shared" si="277"/>
        <v>0</v>
      </c>
      <c r="X111">
        <f t="shared" si="278"/>
        <v>0</v>
      </c>
      <c r="Y111">
        <f t="shared" si="279"/>
        <v>0</v>
      </c>
      <c r="Z111">
        <f t="shared" si="280"/>
        <v>0</v>
      </c>
      <c r="AA111">
        <f t="shared" si="281"/>
        <v>0</v>
      </c>
      <c r="AB111">
        <f t="shared" si="282"/>
        <v>0</v>
      </c>
      <c r="AC111">
        <f t="shared" si="283"/>
        <v>0</v>
      </c>
      <c r="AD111">
        <f t="shared" si="284"/>
        <v>0</v>
      </c>
    </row>
    <row r="113" spans="1:30" x14ac:dyDescent="0.2">
      <c r="A113" t="s">
        <v>35</v>
      </c>
      <c r="B113" t="s">
        <v>121</v>
      </c>
      <c r="C113">
        <v>17.420000000000002</v>
      </c>
      <c r="D113">
        <v>14</v>
      </c>
      <c r="E113">
        <v>7.55</v>
      </c>
      <c r="F113">
        <v>2.74</v>
      </c>
      <c r="G113">
        <v>0.40600000000000003</v>
      </c>
      <c r="H113" s="4">
        <v>9.8799999999999999E-3</v>
      </c>
      <c r="I113" s="4">
        <v>4.6600000000000001E-5</v>
      </c>
      <c r="J113" s="4">
        <v>7.7700000000000004E-7</v>
      </c>
      <c r="K113" s="4">
        <v>1.29E-8</v>
      </c>
      <c r="L113" s="4">
        <v>5.7100000000000002E-11</v>
      </c>
      <c r="M113" s="4">
        <v>9.469999999999999E-13</v>
      </c>
      <c r="N113" s="4">
        <v>1.5699999999999999E-14</v>
      </c>
      <c r="O113" s="4">
        <v>9.7500000000000007E-16</v>
      </c>
      <c r="P113" t="s">
        <v>3</v>
      </c>
      <c r="Q113" t="str">
        <f>VLOOKUP(A113,types,3)</f>
        <v>grof zand</v>
      </c>
      <c r="R113">
        <f>0*C113</f>
        <v>0</v>
      </c>
      <c r="S113">
        <f t="shared" ref="S113:S116" si="286">0*D113</f>
        <v>0</v>
      </c>
      <c r="T113">
        <f t="shared" ref="T113:T116" si="287">0*E113</f>
        <v>0</v>
      </c>
      <c r="U113">
        <f t="shared" ref="U113:U116" si="288">0*F113</f>
        <v>0</v>
      </c>
      <c r="V113">
        <f t="shared" ref="V113:V116" si="289">0*G113</f>
        <v>0</v>
      </c>
      <c r="W113">
        <f t="shared" ref="W113:W116" si="290">0*H113</f>
        <v>0</v>
      </c>
      <c r="X113">
        <f t="shared" ref="X113:X116" si="291">0*I113</f>
        <v>0</v>
      </c>
      <c r="Y113">
        <f t="shared" ref="Y113:Y116" si="292">0*J113</f>
        <v>0</v>
      </c>
      <c r="Z113">
        <f t="shared" ref="Z113:Z116" si="293">0*K113</f>
        <v>0</v>
      </c>
      <c r="AA113">
        <f t="shared" ref="AA113:AA116" si="294">0*L113</f>
        <v>0</v>
      </c>
      <c r="AB113">
        <f t="shared" ref="AB113:AB116" si="295">0*M113</f>
        <v>0</v>
      </c>
      <c r="AC113">
        <f t="shared" ref="AC113:AC116" si="296">0*N113</f>
        <v>0</v>
      </c>
      <c r="AD113">
        <f t="shared" ref="AD113:AD116" si="297">0*O113</f>
        <v>0</v>
      </c>
    </row>
    <row r="114" spans="1:30" x14ac:dyDescent="0.2">
      <c r="A114" t="s">
        <v>35</v>
      </c>
      <c r="B114" t="s">
        <v>127</v>
      </c>
      <c r="C114">
        <v>0.33700000000000002</v>
      </c>
      <c r="D114">
        <v>0.33</v>
      </c>
      <c r="E114">
        <v>0.29499999999999998</v>
      </c>
      <c r="F114">
        <v>0.23</v>
      </c>
      <c r="G114">
        <v>0.13600000000000001</v>
      </c>
      <c r="H114">
        <v>4.9000000000000002E-2</v>
      </c>
      <c r="I114">
        <v>1.7000000000000001E-2</v>
      </c>
      <c r="J114">
        <v>1.2E-2</v>
      </c>
      <c r="K114">
        <v>1.0999999999999999E-2</v>
      </c>
      <c r="L114">
        <v>0.01</v>
      </c>
      <c r="M114">
        <v>0.01</v>
      </c>
      <c r="N114">
        <v>0.01</v>
      </c>
      <c r="O114">
        <v>0.01</v>
      </c>
      <c r="P114" t="s">
        <v>3</v>
      </c>
      <c r="Q114" t="str">
        <f>VLOOKUP(A114,types,3)</f>
        <v>grof zand</v>
      </c>
      <c r="R114">
        <f t="shared" ref="R114:R116" si="298">0*C114</f>
        <v>0</v>
      </c>
      <c r="S114">
        <f t="shared" si="286"/>
        <v>0</v>
      </c>
      <c r="T114">
        <f t="shared" si="287"/>
        <v>0</v>
      </c>
      <c r="U114">
        <f t="shared" si="288"/>
        <v>0</v>
      </c>
      <c r="V114">
        <f t="shared" si="289"/>
        <v>0</v>
      </c>
      <c r="W114">
        <f t="shared" si="290"/>
        <v>0</v>
      </c>
      <c r="X114">
        <f t="shared" si="291"/>
        <v>0</v>
      </c>
      <c r="Y114">
        <f t="shared" si="292"/>
        <v>0</v>
      </c>
      <c r="Z114">
        <f t="shared" si="293"/>
        <v>0</v>
      </c>
      <c r="AA114">
        <f t="shared" si="294"/>
        <v>0</v>
      </c>
      <c r="AB114">
        <f t="shared" si="295"/>
        <v>0</v>
      </c>
      <c r="AC114">
        <f t="shared" si="296"/>
        <v>0</v>
      </c>
      <c r="AD114">
        <f t="shared" si="297"/>
        <v>0</v>
      </c>
    </row>
    <row r="115" spans="1:30" x14ac:dyDescent="0.2">
      <c r="A115" t="s">
        <v>35</v>
      </c>
      <c r="B115" t="s">
        <v>126</v>
      </c>
      <c r="C115">
        <v>0</v>
      </c>
      <c r="D115">
        <v>9.9</v>
      </c>
      <c r="E115">
        <v>19.8</v>
      </c>
      <c r="F115">
        <v>30.6</v>
      </c>
      <c r="G115">
        <v>47.7</v>
      </c>
      <c r="H115">
        <v>66.599999999999994</v>
      </c>
      <c r="I115">
        <v>68.599999999999994</v>
      </c>
      <c r="J115">
        <v>68.599999999999994</v>
      </c>
      <c r="K115">
        <v>68.599999999999994</v>
      </c>
      <c r="L115">
        <v>68.599999999999994</v>
      </c>
      <c r="M115">
        <v>68.599999999999994</v>
      </c>
      <c r="N115">
        <v>68.599999999999994</v>
      </c>
      <c r="O115">
        <v>68.599999999999994</v>
      </c>
      <c r="P115" t="s">
        <v>3</v>
      </c>
      <c r="Q115" t="str">
        <f>VLOOKUP(A115,types,3)</f>
        <v>grof zand</v>
      </c>
      <c r="R115">
        <f t="shared" si="298"/>
        <v>0</v>
      </c>
      <c r="S115">
        <f t="shared" si="286"/>
        <v>0</v>
      </c>
      <c r="T115">
        <f t="shared" si="287"/>
        <v>0</v>
      </c>
      <c r="U115">
        <f t="shared" si="288"/>
        <v>0</v>
      </c>
      <c r="V115">
        <f t="shared" si="289"/>
        <v>0</v>
      </c>
      <c r="W115">
        <f t="shared" si="290"/>
        <v>0</v>
      </c>
      <c r="X115">
        <f t="shared" si="291"/>
        <v>0</v>
      </c>
      <c r="Y115">
        <f t="shared" si="292"/>
        <v>0</v>
      </c>
      <c r="Z115">
        <f t="shared" si="293"/>
        <v>0</v>
      </c>
      <c r="AA115">
        <f t="shared" si="294"/>
        <v>0</v>
      </c>
      <c r="AB115">
        <f t="shared" si="295"/>
        <v>0</v>
      </c>
      <c r="AC115">
        <f t="shared" si="296"/>
        <v>0</v>
      </c>
      <c r="AD115">
        <f t="shared" si="297"/>
        <v>0</v>
      </c>
    </row>
    <row r="116" spans="1:30" x14ac:dyDescent="0.2">
      <c r="A116" t="s">
        <v>35</v>
      </c>
      <c r="B116" t="s">
        <v>111</v>
      </c>
      <c r="C116">
        <v>0</v>
      </c>
      <c r="D116">
        <v>9.9</v>
      </c>
      <c r="E116">
        <v>19.7</v>
      </c>
      <c r="F116">
        <v>30.2</v>
      </c>
      <c r="G116">
        <v>45.9</v>
      </c>
      <c r="H116">
        <v>58.8</v>
      </c>
      <c r="I116">
        <v>59.8</v>
      </c>
      <c r="J116">
        <v>59.8</v>
      </c>
      <c r="K116">
        <v>59.8</v>
      </c>
      <c r="L116">
        <v>59.8</v>
      </c>
      <c r="M116">
        <v>59.8</v>
      </c>
      <c r="N116">
        <v>59.8</v>
      </c>
      <c r="O116">
        <v>59.8</v>
      </c>
      <c r="P116" t="s">
        <v>3</v>
      </c>
      <c r="Q116" t="str">
        <f>VLOOKUP(A116,types,3)</f>
        <v>grof zand</v>
      </c>
      <c r="R116">
        <f t="shared" si="298"/>
        <v>0</v>
      </c>
      <c r="S116">
        <f t="shared" si="286"/>
        <v>0</v>
      </c>
      <c r="T116">
        <f t="shared" si="287"/>
        <v>0</v>
      </c>
      <c r="U116">
        <f t="shared" si="288"/>
        <v>0</v>
      </c>
      <c r="V116">
        <f t="shared" si="289"/>
        <v>0</v>
      </c>
      <c r="W116">
        <f t="shared" si="290"/>
        <v>0</v>
      </c>
      <c r="X116">
        <f t="shared" si="291"/>
        <v>0</v>
      </c>
      <c r="Y116">
        <f t="shared" si="292"/>
        <v>0</v>
      </c>
      <c r="Z116">
        <f t="shared" si="293"/>
        <v>0</v>
      </c>
      <c r="AA116">
        <f t="shared" si="294"/>
        <v>0</v>
      </c>
      <c r="AB116">
        <f t="shared" si="295"/>
        <v>0</v>
      </c>
      <c r="AC116">
        <f t="shared" si="296"/>
        <v>0</v>
      </c>
      <c r="AD116">
        <f t="shared" si="297"/>
        <v>0</v>
      </c>
    </row>
    <row r="118" spans="1:30" x14ac:dyDescent="0.2">
      <c r="A118" t="s">
        <v>36</v>
      </c>
      <c r="B118" t="s">
        <v>121</v>
      </c>
      <c r="C118">
        <v>32.83</v>
      </c>
      <c r="D118">
        <v>6</v>
      </c>
      <c r="E118">
        <v>3.38</v>
      </c>
      <c r="F118">
        <v>2.1</v>
      </c>
      <c r="G118">
        <v>1.1200000000000001</v>
      </c>
      <c r="H118">
        <v>0.36099999999999999</v>
      </c>
      <c r="I118" s="4">
        <v>5.96E-2</v>
      </c>
      <c r="J118" s="4">
        <v>1.34E-2</v>
      </c>
      <c r="K118" s="4">
        <v>2.8500000000000001E-3</v>
      </c>
      <c r="L118" s="4">
        <v>3.5799999999999997E-4</v>
      </c>
      <c r="M118" s="4">
        <v>7.3700000000000002E-5</v>
      </c>
      <c r="N118" s="4">
        <v>1.52E-5</v>
      </c>
      <c r="O118" s="4">
        <v>5.1800000000000004E-6</v>
      </c>
      <c r="P118" t="s">
        <v>3</v>
      </c>
      <c r="Q118" t="str">
        <f>VLOOKUP(A118,types,3)</f>
        <v>keileem</v>
      </c>
      <c r="R118">
        <f>0*C118</f>
        <v>0</v>
      </c>
      <c r="S118">
        <f t="shared" ref="S118:S121" si="299">0*D118</f>
        <v>0</v>
      </c>
      <c r="T118">
        <f t="shared" ref="T118:T121" si="300">0*E118</f>
        <v>0</v>
      </c>
      <c r="U118">
        <f t="shared" ref="U118:U121" si="301">0*F118</f>
        <v>0</v>
      </c>
      <c r="V118">
        <f t="shared" ref="V118:V121" si="302">0*G118</f>
        <v>0</v>
      </c>
      <c r="W118">
        <f t="shared" ref="W118:W121" si="303">0*H118</f>
        <v>0</v>
      </c>
      <c r="X118">
        <f t="shared" ref="X118:X121" si="304">0*I118</f>
        <v>0</v>
      </c>
      <c r="Y118">
        <f t="shared" ref="Y118:Y121" si="305">0*J118</f>
        <v>0</v>
      </c>
      <c r="Z118">
        <f t="shared" ref="Z118:Z121" si="306">0*K118</f>
        <v>0</v>
      </c>
      <c r="AA118">
        <f t="shared" ref="AA118:AA121" si="307">0*L118</f>
        <v>0</v>
      </c>
      <c r="AB118">
        <f t="shared" ref="AB118:AB121" si="308">0*M118</f>
        <v>0</v>
      </c>
      <c r="AC118">
        <f t="shared" ref="AC118:AC121" si="309">0*N118</f>
        <v>0</v>
      </c>
      <c r="AD118">
        <f t="shared" ref="AD118:AD121" si="310">0*O118</f>
        <v>0</v>
      </c>
    </row>
    <row r="119" spans="1:30" x14ac:dyDescent="0.2">
      <c r="A119" t="s">
        <v>36</v>
      </c>
      <c r="B119" t="s">
        <v>127</v>
      </c>
      <c r="C119">
        <v>0.33300000000000002</v>
      </c>
      <c r="D119">
        <v>0.32700000000000001</v>
      </c>
      <c r="E119">
        <v>0.31900000000000001</v>
      </c>
      <c r="F119">
        <v>0.31</v>
      </c>
      <c r="G119">
        <v>0.29499999999999998</v>
      </c>
      <c r="H119">
        <v>0.26600000000000001</v>
      </c>
      <c r="I119">
        <v>0.219</v>
      </c>
      <c r="J119">
        <v>0.185</v>
      </c>
      <c r="K119">
        <v>0.154</v>
      </c>
      <c r="L119">
        <v>0.121</v>
      </c>
      <c r="M119">
        <v>0.10100000000000001</v>
      </c>
      <c r="N119">
        <v>8.5000000000000006E-2</v>
      </c>
      <c r="O119">
        <v>7.528E-2</v>
      </c>
      <c r="P119" t="s">
        <v>3</v>
      </c>
      <c r="Q119" t="str">
        <f>VLOOKUP(A119,types,3)</f>
        <v>keileem</v>
      </c>
      <c r="R119">
        <f t="shared" ref="R119:R121" si="311">0*C119</f>
        <v>0</v>
      </c>
      <c r="S119">
        <f t="shared" si="299"/>
        <v>0</v>
      </c>
      <c r="T119">
        <f t="shared" si="300"/>
        <v>0</v>
      </c>
      <c r="U119">
        <f t="shared" si="301"/>
        <v>0</v>
      </c>
      <c r="V119">
        <f t="shared" si="302"/>
        <v>0</v>
      </c>
      <c r="W119">
        <f t="shared" si="303"/>
        <v>0</v>
      </c>
      <c r="X119">
        <f t="shared" si="304"/>
        <v>0</v>
      </c>
      <c r="Y119">
        <f t="shared" si="305"/>
        <v>0</v>
      </c>
      <c r="Z119">
        <f t="shared" si="306"/>
        <v>0</v>
      </c>
      <c r="AA119">
        <f t="shared" si="307"/>
        <v>0</v>
      </c>
      <c r="AB119">
        <f t="shared" si="308"/>
        <v>0</v>
      </c>
      <c r="AC119">
        <f t="shared" si="309"/>
        <v>0</v>
      </c>
      <c r="AD119">
        <f t="shared" si="310"/>
        <v>0</v>
      </c>
    </row>
    <row r="120" spans="1:30" x14ac:dyDescent="0.2">
      <c r="A120" t="s">
        <v>36</v>
      </c>
      <c r="B120" t="s">
        <v>126</v>
      </c>
      <c r="C120">
        <v>0</v>
      </c>
      <c r="D120">
        <v>9.9</v>
      </c>
      <c r="E120">
        <v>19.7</v>
      </c>
      <c r="F120">
        <v>30.3</v>
      </c>
      <c r="G120">
        <v>48.1</v>
      </c>
      <c r="H120">
        <v>90.8</v>
      </c>
      <c r="I120">
        <v>175.1</v>
      </c>
      <c r="J120">
        <v>228.9</v>
      </c>
      <c r="K120">
        <v>258</v>
      </c>
      <c r="L120">
        <v>273.3</v>
      </c>
      <c r="M120">
        <v>277.39999999999998</v>
      </c>
      <c r="N120">
        <v>279.10000000000002</v>
      </c>
      <c r="O120">
        <v>279.60000000000002</v>
      </c>
      <c r="P120" t="s">
        <v>3</v>
      </c>
      <c r="Q120" t="str">
        <f>VLOOKUP(A120,types,3)</f>
        <v>keileem</v>
      </c>
      <c r="R120">
        <f t="shared" si="311"/>
        <v>0</v>
      </c>
      <c r="S120">
        <f t="shared" si="299"/>
        <v>0</v>
      </c>
      <c r="T120">
        <f t="shared" si="300"/>
        <v>0</v>
      </c>
      <c r="U120">
        <f t="shared" si="301"/>
        <v>0</v>
      </c>
      <c r="V120">
        <f t="shared" si="302"/>
        <v>0</v>
      </c>
      <c r="W120">
        <f t="shared" si="303"/>
        <v>0</v>
      </c>
      <c r="X120">
        <f t="shared" si="304"/>
        <v>0</v>
      </c>
      <c r="Y120">
        <f t="shared" si="305"/>
        <v>0</v>
      </c>
      <c r="Z120">
        <f t="shared" si="306"/>
        <v>0</v>
      </c>
      <c r="AA120">
        <f t="shared" si="307"/>
        <v>0</v>
      </c>
      <c r="AB120">
        <f t="shared" si="308"/>
        <v>0</v>
      </c>
      <c r="AC120">
        <f t="shared" si="309"/>
        <v>0</v>
      </c>
      <c r="AD120">
        <f t="shared" si="310"/>
        <v>0</v>
      </c>
    </row>
    <row r="121" spans="1:30" x14ac:dyDescent="0.2">
      <c r="A121" t="s">
        <v>36</v>
      </c>
      <c r="B121" t="s">
        <v>111</v>
      </c>
      <c r="C121">
        <v>0</v>
      </c>
      <c r="D121">
        <v>9.8000000000000007</v>
      </c>
      <c r="E121">
        <v>19.3</v>
      </c>
      <c r="F121">
        <v>29.6</v>
      </c>
      <c r="G121">
        <v>46.3</v>
      </c>
      <c r="H121">
        <v>83.7</v>
      </c>
      <c r="I121">
        <v>143.80000000000001</v>
      </c>
      <c r="J121">
        <v>174.5</v>
      </c>
      <c r="K121">
        <v>189.5</v>
      </c>
      <c r="L121">
        <v>197.2</v>
      </c>
      <c r="M121">
        <v>199.3</v>
      </c>
      <c r="N121">
        <v>200.1</v>
      </c>
      <c r="O121">
        <v>200.4</v>
      </c>
      <c r="P121" t="s">
        <v>3</v>
      </c>
      <c r="Q121" t="str">
        <f>VLOOKUP(A121,types,3)</f>
        <v>keileem</v>
      </c>
      <c r="R121">
        <f t="shared" si="311"/>
        <v>0</v>
      </c>
      <c r="S121">
        <f t="shared" si="299"/>
        <v>0</v>
      </c>
      <c r="T121">
        <f t="shared" si="300"/>
        <v>0</v>
      </c>
      <c r="U121">
        <f t="shared" si="301"/>
        <v>0</v>
      </c>
      <c r="V121">
        <f t="shared" si="302"/>
        <v>0</v>
      </c>
      <c r="W121">
        <f t="shared" si="303"/>
        <v>0</v>
      </c>
      <c r="X121">
        <f t="shared" si="304"/>
        <v>0</v>
      </c>
      <c r="Y121">
        <f t="shared" si="305"/>
        <v>0</v>
      </c>
      <c r="Z121">
        <f t="shared" si="306"/>
        <v>0</v>
      </c>
      <c r="AA121">
        <f t="shared" si="307"/>
        <v>0</v>
      </c>
      <c r="AB121">
        <f t="shared" si="308"/>
        <v>0</v>
      </c>
      <c r="AC121">
        <f t="shared" si="309"/>
        <v>0</v>
      </c>
      <c r="AD121">
        <f t="shared" si="310"/>
        <v>0</v>
      </c>
    </row>
    <row r="123" spans="1:30" x14ac:dyDescent="0.2">
      <c r="A123" t="s">
        <v>37</v>
      </c>
      <c r="B123" t="s">
        <v>121</v>
      </c>
      <c r="C123">
        <v>37.549999999999997</v>
      </c>
      <c r="D123">
        <v>3.12</v>
      </c>
      <c r="E123">
        <v>1.82</v>
      </c>
      <c r="F123">
        <v>1.19</v>
      </c>
      <c r="G123" s="4">
        <v>0.69099999999999995</v>
      </c>
      <c r="H123" s="4">
        <v>0.26800000000000002</v>
      </c>
      <c r="I123" s="4">
        <v>5.9200000000000003E-2</v>
      </c>
      <c r="J123" s="4">
        <v>1.66E-2</v>
      </c>
      <c r="K123" s="4">
        <v>4.4099999999999999E-3</v>
      </c>
      <c r="L123" s="4">
        <v>7.2900000000000005E-4</v>
      </c>
      <c r="M123" s="4">
        <v>1.84E-4</v>
      </c>
      <c r="N123" s="4">
        <v>4.6300000000000001E-5</v>
      </c>
      <c r="O123" s="4">
        <v>1.8099999999999999E-5</v>
      </c>
      <c r="P123" t="s">
        <v>3</v>
      </c>
      <c r="Q123" t="str">
        <f>VLOOKUP(A123,types,3)</f>
        <v>beekleem</v>
      </c>
      <c r="R123">
        <f>0*C123</f>
        <v>0</v>
      </c>
      <c r="S123">
        <f t="shared" ref="S123:S126" si="312">0*D123</f>
        <v>0</v>
      </c>
      <c r="T123">
        <f t="shared" ref="T123:T126" si="313">0*E123</f>
        <v>0</v>
      </c>
      <c r="U123">
        <f t="shared" ref="U123:U126" si="314">0*F123</f>
        <v>0</v>
      </c>
      <c r="V123">
        <f t="shared" ref="V123:V126" si="315">0*G123</f>
        <v>0</v>
      </c>
      <c r="W123">
        <f t="shared" ref="W123:W126" si="316">0*H123</f>
        <v>0</v>
      </c>
      <c r="X123">
        <f t="shared" ref="X123:X126" si="317">0*I123</f>
        <v>0</v>
      </c>
      <c r="Y123">
        <f t="shared" ref="Y123:Y126" si="318">0*J123</f>
        <v>0</v>
      </c>
      <c r="Z123">
        <f t="shared" ref="Z123:Z126" si="319">0*K123</f>
        <v>0</v>
      </c>
      <c r="AA123">
        <f t="shared" ref="AA123:AA126" si="320">0*L123</f>
        <v>0</v>
      </c>
      <c r="AB123">
        <f t="shared" ref="AB123:AB126" si="321">0*M123</f>
        <v>0</v>
      </c>
      <c r="AC123">
        <f t="shared" ref="AC123:AC126" si="322">0*N123</f>
        <v>0</v>
      </c>
      <c r="AD123">
        <f t="shared" ref="AD123:AD126" si="323">0*O123</f>
        <v>0</v>
      </c>
    </row>
    <row r="124" spans="1:30" x14ac:dyDescent="0.2">
      <c r="A124" t="s">
        <v>37</v>
      </c>
      <c r="B124" t="s">
        <v>127</v>
      </c>
      <c r="C124">
        <v>0.51300000000000001</v>
      </c>
      <c r="D124">
        <v>0.50800000000000001</v>
      </c>
      <c r="E124">
        <v>0.502</v>
      </c>
      <c r="F124">
        <v>0.495</v>
      </c>
      <c r="G124">
        <v>0.48499999999999999</v>
      </c>
      <c r="H124">
        <v>0.46200000000000002</v>
      </c>
      <c r="I124">
        <v>0.42199999999999999</v>
      </c>
      <c r="J124">
        <v>0.38700000000000001</v>
      </c>
      <c r="K124">
        <v>0.35199999999999998</v>
      </c>
      <c r="L124">
        <v>0.308</v>
      </c>
      <c r="M124">
        <v>0.27900000000000003</v>
      </c>
      <c r="N124">
        <v>0.252</v>
      </c>
      <c r="O124">
        <v>0.23502999999999999</v>
      </c>
      <c r="P124" t="s">
        <v>3</v>
      </c>
      <c r="Q124" t="str">
        <f>VLOOKUP(A124,types,3)</f>
        <v>beekleem</v>
      </c>
      <c r="R124">
        <f t="shared" ref="R124:R126" si="324">0*C124</f>
        <v>0</v>
      </c>
      <c r="S124">
        <f t="shared" si="312"/>
        <v>0</v>
      </c>
      <c r="T124">
        <f t="shared" si="313"/>
        <v>0</v>
      </c>
      <c r="U124">
        <f t="shared" si="314"/>
        <v>0</v>
      </c>
      <c r="V124">
        <f t="shared" si="315"/>
        <v>0</v>
      </c>
      <c r="W124">
        <f t="shared" si="316"/>
        <v>0</v>
      </c>
      <c r="X124">
        <f t="shared" si="317"/>
        <v>0</v>
      </c>
      <c r="Y124">
        <f t="shared" si="318"/>
        <v>0</v>
      </c>
      <c r="Z124">
        <f t="shared" si="319"/>
        <v>0</v>
      </c>
      <c r="AA124">
        <f t="shared" si="320"/>
        <v>0</v>
      </c>
      <c r="AB124">
        <f t="shared" si="321"/>
        <v>0</v>
      </c>
      <c r="AC124">
        <f t="shared" si="322"/>
        <v>0</v>
      </c>
      <c r="AD124">
        <f t="shared" si="323"/>
        <v>0</v>
      </c>
    </row>
    <row r="125" spans="1:30" x14ac:dyDescent="0.2">
      <c r="A125" t="s">
        <v>37</v>
      </c>
      <c r="B125" t="s">
        <v>126</v>
      </c>
      <c r="C125">
        <v>0</v>
      </c>
      <c r="D125">
        <v>9.8000000000000007</v>
      </c>
      <c r="E125">
        <v>19.399999999999999</v>
      </c>
      <c r="F125">
        <v>29.7</v>
      </c>
      <c r="G125">
        <v>46.7</v>
      </c>
      <c r="H125">
        <v>86.8</v>
      </c>
      <c r="I125">
        <v>166.7</v>
      </c>
      <c r="J125">
        <v>225</v>
      </c>
      <c r="K125">
        <v>264</v>
      </c>
      <c r="L125">
        <v>290.3</v>
      </c>
      <c r="M125">
        <v>299.5</v>
      </c>
      <c r="N125">
        <v>304.10000000000002</v>
      </c>
      <c r="O125">
        <v>305.8</v>
      </c>
      <c r="P125" t="s">
        <v>3</v>
      </c>
      <c r="Q125" t="str">
        <f>VLOOKUP(A125,types,3)</f>
        <v>beekleem</v>
      </c>
      <c r="R125">
        <f t="shared" si="324"/>
        <v>0</v>
      </c>
      <c r="S125">
        <f t="shared" si="312"/>
        <v>0</v>
      </c>
      <c r="T125">
        <f t="shared" si="313"/>
        <v>0</v>
      </c>
      <c r="U125">
        <f t="shared" si="314"/>
        <v>0</v>
      </c>
      <c r="V125">
        <f t="shared" si="315"/>
        <v>0</v>
      </c>
      <c r="W125">
        <f t="shared" si="316"/>
        <v>0</v>
      </c>
      <c r="X125">
        <f t="shared" si="317"/>
        <v>0</v>
      </c>
      <c r="Y125">
        <f t="shared" si="318"/>
        <v>0</v>
      </c>
      <c r="Z125">
        <f t="shared" si="319"/>
        <v>0</v>
      </c>
      <c r="AA125">
        <f t="shared" si="320"/>
        <v>0</v>
      </c>
      <c r="AB125">
        <f t="shared" si="321"/>
        <v>0</v>
      </c>
      <c r="AC125">
        <f t="shared" si="322"/>
        <v>0</v>
      </c>
      <c r="AD125">
        <f t="shared" si="323"/>
        <v>0</v>
      </c>
    </row>
    <row r="126" spans="1:30" x14ac:dyDescent="0.2">
      <c r="A126" t="s">
        <v>37</v>
      </c>
      <c r="B126" t="s">
        <v>111</v>
      </c>
      <c r="C126">
        <v>0</v>
      </c>
      <c r="D126">
        <v>9.6</v>
      </c>
      <c r="E126">
        <v>18.8</v>
      </c>
      <c r="F126">
        <v>28.5</v>
      </c>
      <c r="G126">
        <v>44</v>
      </c>
      <c r="H126">
        <v>77.5</v>
      </c>
      <c r="I126">
        <v>133</v>
      </c>
      <c r="J126">
        <v>166.4</v>
      </c>
      <c r="K126">
        <v>186.8</v>
      </c>
      <c r="L126">
        <v>200.1</v>
      </c>
      <c r="M126">
        <v>204.7</v>
      </c>
      <c r="N126">
        <v>207</v>
      </c>
      <c r="O126">
        <v>207.9</v>
      </c>
      <c r="P126" t="s">
        <v>3</v>
      </c>
      <c r="Q126" t="str">
        <f>VLOOKUP(A126,types,3)</f>
        <v>beekleem</v>
      </c>
      <c r="R126">
        <f t="shared" si="324"/>
        <v>0</v>
      </c>
      <c r="S126">
        <f t="shared" si="312"/>
        <v>0</v>
      </c>
      <c r="T126">
        <f t="shared" si="313"/>
        <v>0</v>
      </c>
      <c r="U126">
        <f t="shared" si="314"/>
        <v>0</v>
      </c>
      <c r="V126">
        <f t="shared" si="315"/>
        <v>0</v>
      </c>
      <c r="W126">
        <f t="shared" si="316"/>
        <v>0</v>
      </c>
      <c r="X126">
        <f t="shared" si="317"/>
        <v>0</v>
      </c>
      <c r="Y126">
        <f t="shared" si="318"/>
        <v>0</v>
      </c>
      <c r="Z126">
        <f t="shared" si="319"/>
        <v>0</v>
      </c>
      <c r="AA126">
        <f t="shared" si="320"/>
        <v>0</v>
      </c>
      <c r="AB126">
        <f t="shared" si="321"/>
        <v>0</v>
      </c>
      <c r="AC126">
        <f t="shared" si="322"/>
        <v>0</v>
      </c>
      <c r="AD126">
        <f t="shared" si="323"/>
        <v>0</v>
      </c>
    </row>
    <row r="128" spans="1:30" x14ac:dyDescent="0.2">
      <c r="A128" t="s">
        <v>38</v>
      </c>
      <c r="B128" t="s">
        <v>121</v>
      </c>
      <c r="C128">
        <v>8.64</v>
      </c>
      <c r="D128">
        <v>2.5099999999999998</v>
      </c>
      <c r="E128">
        <v>1.58</v>
      </c>
      <c r="F128">
        <v>1.06</v>
      </c>
      <c r="G128" s="4">
        <v>0.61599999999999999</v>
      </c>
      <c r="H128" s="4">
        <v>0.22</v>
      </c>
      <c r="I128" s="4">
        <v>3.8199999999999998E-2</v>
      </c>
      <c r="J128" s="4">
        <v>8.3899999999999999E-3</v>
      </c>
      <c r="K128" s="4">
        <v>1.7099999999999999E-3</v>
      </c>
      <c r="L128" s="4">
        <v>1.9799999999999999E-4</v>
      </c>
      <c r="M128" s="4">
        <v>3.8399999999999998E-5</v>
      </c>
      <c r="N128" s="4">
        <v>7.3900000000000004E-6</v>
      </c>
      <c r="O128" s="4">
        <v>2.4200000000000001E-6</v>
      </c>
      <c r="P128" t="s">
        <v>10</v>
      </c>
      <c r="Q128" t="str">
        <f>VLOOKUP(A128,types,3)</f>
        <v>zeer lichte zavel</v>
      </c>
      <c r="R128">
        <f>0*C128</f>
        <v>0</v>
      </c>
      <c r="S128">
        <f t="shared" ref="S128:S131" si="325">0*D128</f>
        <v>0</v>
      </c>
      <c r="T128">
        <f t="shared" ref="T128:T131" si="326">0*E128</f>
        <v>0</v>
      </c>
      <c r="U128">
        <f t="shared" ref="U128:U131" si="327">0*F128</f>
        <v>0</v>
      </c>
      <c r="V128">
        <f t="shared" ref="V128:V131" si="328">0*G128</f>
        <v>0</v>
      </c>
      <c r="W128">
        <f t="shared" ref="W128:W131" si="329">0*H128</f>
        <v>0</v>
      </c>
      <c r="X128">
        <f t="shared" ref="X128:X131" si="330">0*I128</f>
        <v>0</v>
      </c>
      <c r="Y128">
        <f t="shared" ref="Y128:Y131" si="331">0*J128</f>
        <v>0</v>
      </c>
      <c r="Z128">
        <f t="shared" ref="Z128:Z131" si="332">0*K128</f>
        <v>0</v>
      </c>
      <c r="AA128">
        <f t="shared" ref="AA128:AA131" si="333">0*L128</f>
        <v>0</v>
      </c>
      <c r="AB128">
        <f t="shared" ref="AB128:AB131" si="334">0*M128</f>
        <v>0</v>
      </c>
      <c r="AC128">
        <f t="shared" ref="AC128:AC131" si="335">0*N128</f>
        <v>0</v>
      </c>
      <c r="AD128">
        <f t="shared" ref="AD128:AD131" si="336">0*O128</f>
        <v>0</v>
      </c>
    </row>
    <row r="129" spans="1:30" x14ac:dyDescent="0.2">
      <c r="A129" t="s">
        <v>38</v>
      </c>
      <c r="B129" t="s">
        <v>127</v>
      </c>
      <c r="C129">
        <v>0.45400000000000001</v>
      </c>
      <c r="D129">
        <v>0.44800000000000001</v>
      </c>
      <c r="E129">
        <v>0.439</v>
      </c>
      <c r="F129">
        <v>0.42899999999999999</v>
      </c>
      <c r="G129">
        <v>0.41099999999999998</v>
      </c>
      <c r="H129">
        <v>0.371</v>
      </c>
      <c r="I129">
        <v>0.29899999999999999</v>
      </c>
      <c r="J129">
        <v>0.24299999999999999</v>
      </c>
      <c r="K129">
        <v>0.19400000000000001</v>
      </c>
      <c r="L129">
        <v>0.14199999999999999</v>
      </c>
      <c r="M129">
        <v>0.112</v>
      </c>
      <c r="N129">
        <v>8.7999999999999995E-2</v>
      </c>
      <c r="O129">
        <v>7.5069999999999998E-2</v>
      </c>
      <c r="P129" t="s">
        <v>10</v>
      </c>
      <c r="Q129" t="str">
        <f>VLOOKUP(A129,types,3)</f>
        <v>zeer lichte zavel</v>
      </c>
      <c r="R129">
        <f t="shared" ref="R129:R131" si="337">0*C129</f>
        <v>0</v>
      </c>
      <c r="S129">
        <f t="shared" si="325"/>
        <v>0</v>
      </c>
      <c r="T129">
        <f t="shared" si="326"/>
        <v>0</v>
      </c>
      <c r="U129">
        <f t="shared" si="327"/>
        <v>0</v>
      </c>
      <c r="V129">
        <f t="shared" si="328"/>
        <v>0</v>
      </c>
      <c r="W129">
        <f t="shared" si="329"/>
        <v>0</v>
      </c>
      <c r="X129">
        <f t="shared" si="330"/>
        <v>0</v>
      </c>
      <c r="Y129">
        <f t="shared" si="331"/>
        <v>0</v>
      </c>
      <c r="Z129">
        <f t="shared" si="332"/>
        <v>0</v>
      </c>
      <c r="AA129">
        <f t="shared" si="333"/>
        <v>0</v>
      </c>
      <c r="AB129">
        <f t="shared" si="334"/>
        <v>0</v>
      </c>
      <c r="AC129">
        <f t="shared" si="335"/>
        <v>0</v>
      </c>
      <c r="AD129">
        <f t="shared" si="336"/>
        <v>0</v>
      </c>
    </row>
    <row r="130" spans="1:30" x14ac:dyDescent="0.2">
      <c r="A130" t="s">
        <v>38</v>
      </c>
      <c r="B130" t="s">
        <v>126</v>
      </c>
      <c r="C130">
        <v>0</v>
      </c>
      <c r="D130">
        <v>9.6999999999999993</v>
      </c>
      <c r="E130">
        <v>19.2</v>
      </c>
      <c r="F130">
        <v>29.4</v>
      </c>
      <c r="G130">
        <v>46.3</v>
      </c>
      <c r="H130">
        <v>85.1</v>
      </c>
      <c r="I130">
        <v>153.4</v>
      </c>
      <c r="J130">
        <v>190.9</v>
      </c>
      <c r="K130">
        <v>209.3</v>
      </c>
      <c r="L130">
        <v>218.3</v>
      </c>
      <c r="M130">
        <v>220.5</v>
      </c>
      <c r="N130">
        <v>221.3</v>
      </c>
      <c r="O130">
        <v>221.6</v>
      </c>
      <c r="P130" t="s">
        <v>10</v>
      </c>
      <c r="Q130" t="str">
        <f>VLOOKUP(A130,types,3)</f>
        <v>zeer lichte zavel</v>
      </c>
      <c r="R130">
        <f t="shared" si="337"/>
        <v>0</v>
      </c>
      <c r="S130">
        <f t="shared" si="325"/>
        <v>0</v>
      </c>
      <c r="T130">
        <f t="shared" si="326"/>
        <v>0</v>
      </c>
      <c r="U130">
        <f t="shared" si="327"/>
        <v>0</v>
      </c>
      <c r="V130">
        <f t="shared" si="328"/>
        <v>0</v>
      </c>
      <c r="W130">
        <f t="shared" si="329"/>
        <v>0</v>
      </c>
      <c r="X130">
        <f t="shared" si="330"/>
        <v>0</v>
      </c>
      <c r="Y130">
        <f t="shared" si="331"/>
        <v>0</v>
      </c>
      <c r="Z130">
        <f t="shared" si="332"/>
        <v>0</v>
      </c>
      <c r="AA130">
        <f t="shared" si="333"/>
        <v>0</v>
      </c>
      <c r="AB130">
        <f t="shared" si="334"/>
        <v>0</v>
      </c>
      <c r="AC130">
        <f t="shared" si="335"/>
        <v>0</v>
      </c>
      <c r="AD130">
        <f t="shared" si="336"/>
        <v>0</v>
      </c>
    </row>
    <row r="131" spans="1:30" x14ac:dyDescent="0.2">
      <c r="A131" t="s">
        <v>38</v>
      </c>
      <c r="B131" t="s">
        <v>111</v>
      </c>
      <c r="C131">
        <v>0</v>
      </c>
      <c r="D131">
        <v>9.5</v>
      </c>
      <c r="E131">
        <v>18.5</v>
      </c>
      <c r="F131">
        <v>28</v>
      </c>
      <c r="G131">
        <v>43.2</v>
      </c>
      <c r="H131">
        <v>75.099999999999994</v>
      </c>
      <c r="I131">
        <v>120.5</v>
      </c>
      <c r="J131">
        <v>141</v>
      </c>
      <c r="K131">
        <v>150.4</v>
      </c>
      <c r="L131">
        <v>154.9</v>
      </c>
      <c r="M131">
        <v>156</v>
      </c>
      <c r="N131">
        <v>156.5</v>
      </c>
      <c r="O131">
        <v>156.6</v>
      </c>
      <c r="P131" t="s">
        <v>10</v>
      </c>
      <c r="Q131" t="str">
        <f>VLOOKUP(A131,types,3)</f>
        <v>zeer lichte zavel</v>
      </c>
      <c r="R131">
        <f t="shared" si="337"/>
        <v>0</v>
      </c>
      <c r="S131">
        <f t="shared" si="325"/>
        <v>0</v>
      </c>
      <c r="T131">
        <f t="shared" si="326"/>
        <v>0</v>
      </c>
      <c r="U131">
        <f t="shared" si="327"/>
        <v>0</v>
      </c>
      <c r="V131">
        <f t="shared" si="328"/>
        <v>0</v>
      </c>
      <c r="W131">
        <f t="shared" si="329"/>
        <v>0</v>
      </c>
      <c r="X131">
        <f t="shared" si="330"/>
        <v>0</v>
      </c>
      <c r="Y131">
        <f t="shared" si="331"/>
        <v>0</v>
      </c>
      <c r="Z131">
        <f t="shared" si="332"/>
        <v>0</v>
      </c>
      <c r="AA131">
        <f t="shared" si="333"/>
        <v>0</v>
      </c>
      <c r="AB131">
        <f t="shared" si="334"/>
        <v>0</v>
      </c>
      <c r="AC131">
        <f t="shared" si="335"/>
        <v>0</v>
      </c>
      <c r="AD131">
        <f t="shared" si="336"/>
        <v>0</v>
      </c>
    </row>
    <row r="133" spans="1:30" x14ac:dyDescent="0.2">
      <c r="A133" t="s">
        <v>39</v>
      </c>
      <c r="B133" t="s">
        <v>121</v>
      </c>
      <c r="C133">
        <v>3.77</v>
      </c>
      <c r="D133">
        <v>1.32</v>
      </c>
      <c r="E133">
        <v>0.87</v>
      </c>
      <c r="F133">
        <v>0.61</v>
      </c>
      <c r="G133" s="4">
        <v>0.371</v>
      </c>
      <c r="H133" s="4">
        <v>0.14199999999999999</v>
      </c>
      <c r="I133" s="4">
        <v>2.64E-2</v>
      </c>
      <c r="J133" s="4">
        <v>5.9500000000000004E-3</v>
      </c>
      <c r="K133" s="4">
        <v>1.23E-3</v>
      </c>
      <c r="L133" s="4">
        <v>1.44E-4</v>
      </c>
      <c r="M133" s="4">
        <v>2.8099999999999999E-5</v>
      </c>
      <c r="N133" s="4">
        <v>5.4399999999999996E-6</v>
      </c>
      <c r="O133" s="4">
        <v>1.79E-6</v>
      </c>
      <c r="P133" t="s">
        <v>10</v>
      </c>
      <c r="Q133" t="str">
        <f>VLOOKUP(A133,types,3)</f>
        <v>matig lichte zavel</v>
      </c>
      <c r="R133">
        <f>0*C133</f>
        <v>0</v>
      </c>
      <c r="S133">
        <f t="shared" ref="S133:S136" si="338">0*D133</f>
        <v>0</v>
      </c>
      <c r="T133">
        <f t="shared" ref="T133:T136" si="339">0*E133</f>
        <v>0</v>
      </c>
      <c r="U133">
        <f t="shared" ref="U133:U136" si="340">0*F133</f>
        <v>0</v>
      </c>
      <c r="V133">
        <f t="shared" ref="V133:V136" si="341">0*G133</f>
        <v>0</v>
      </c>
      <c r="W133">
        <f t="shared" ref="W133:W136" si="342">0*H133</f>
        <v>0</v>
      </c>
      <c r="X133">
        <f t="shared" ref="X133:X136" si="343">0*I133</f>
        <v>0</v>
      </c>
      <c r="Y133">
        <f t="shared" ref="Y133:Y136" si="344">0*J133</f>
        <v>0</v>
      </c>
      <c r="Z133">
        <f t="shared" ref="Z133:Z136" si="345">0*K133</f>
        <v>0</v>
      </c>
      <c r="AA133">
        <f t="shared" ref="AA133:AA136" si="346">0*L133</f>
        <v>0</v>
      </c>
      <c r="AB133">
        <f t="shared" ref="AB133:AB136" si="347">0*M133</f>
        <v>0</v>
      </c>
      <c r="AC133">
        <f t="shared" ref="AC133:AC136" si="348">0*N133</f>
        <v>0</v>
      </c>
      <c r="AD133">
        <f t="shared" ref="AD133:AD136" si="349">0*O133</f>
        <v>0</v>
      </c>
    </row>
    <row r="134" spans="1:30" x14ac:dyDescent="0.2">
      <c r="A134" t="s">
        <v>39</v>
      </c>
      <c r="B134" t="s">
        <v>127</v>
      </c>
      <c r="C134">
        <v>0.45800000000000002</v>
      </c>
      <c r="D134">
        <v>0.45300000000000001</v>
      </c>
      <c r="E134">
        <v>0.44600000000000001</v>
      </c>
      <c r="F134">
        <v>0.437</v>
      </c>
      <c r="G134">
        <v>0.42</v>
      </c>
      <c r="H134">
        <v>0.38100000000000001</v>
      </c>
      <c r="I134">
        <v>0.30599999999999999</v>
      </c>
      <c r="J134">
        <v>0.246</v>
      </c>
      <c r="K134">
        <v>0.193</v>
      </c>
      <c r="L134">
        <v>0.13800000000000001</v>
      </c>
      <c r="M134">
        <v>0.106</v>
      </c>
      <c r="N134">
        <v>8.2000000000000003E-2</v>
      </c>
      <c r="O134">
        <v>6.8769999999999998E-2</v>
      </c>
      <c r="P134" t="s">
        <v>10</v>
      </c>
      <c r="Q134" t="str">
        <f>VLOOKUP(A134,types,3)</f>
        <v>matig lichte zavel</v>
      </c>
      <c r="R134">
        <f t="shared" ref="R134:R136" si="350">0*C134</f>
        <v>0</v>
      </c>
      <c r="S134">
        <f t="shared" si="338"/>
        <v>0</v>
      </c>
      <c r="T134">
        <f t="shared" si="339"/>
        <v>0</v>
      </c>
      <c r="U134">
        <f t="shared" si="340"/>
        <v>0</v>
      </c>
      <c r="V134">
        <f t="shared" si="341"/>
        <v>0</v>
      </c>
      <c r="W134">
        <f t="shared" si="342"/>
        <v>0</v>
      </c>
      <c r="X134">
        <f t="shared" si="343"/>
        <v>0</v>
      </c>
      <c r="Y134">
        <f t="shared" si="344"/>
        <v>0</v>
      </c>
      <c r="Z134">
        <f t="shared" si="345"/>
        <v>0</v>
      </c>
      <c r="AA134">
        <f t="shared" si="346"/>
        <v>0</v>
      </c>
      <c r="AB134">
        <f t="shared" si="347"/>
        <v>0</v>
      </c>
      <c r="AC134">
        <f t="shared" si="348"/>
        <v>0</v>
      </c>
      <c r="AD134">
        <f t="shared" si="349"/>
        <v>0</v>
      </c>
    </row>
    <row r="135" spans="1:30" x14ac:dyDescent="0.2">
      <c r="A135" t="s">
        <v>39</v>
      </c>
      <c r="B135" t="s">
        <v>126</v>
      </c>
      <c r="C135">
        <v>0</v>
      </c>
      <c r="D135">
        <v>9.5</v>
      </c>
      <c r="E135">
        <v>18.600000000000001</v>
      </c>
      <c r="F135">
        <v>28.3</v>
      </c>
      <c r="G135">
        <v>43.9</v>
      </c>
      <c r="H135">
        <v>78.3</v>
      </c>
      <c r="I135">
        <v>133</v>
      </c>
      <c r="J135">
        <v>160.69999999999999</v>
      </c>
      <c r="K135">
        <v>174</v>
      </c>
      <c r="L135">
        <v>180.5</v>
      </c>
      <c r="M135">
        <v>182.1</v>
      </c>
      <c r="N135">
        <v>182.7</v>
      </c>
      <c r="O135">
        <v>182.9</v>
      </c>
      <c r="P135" t="s">
        <v>10</v>
      </c>
      <c r="Q135" t="str">
        <f>VLOOKUP(A135,types,3)</f>
        <v>matig lichte zavel</v>
      </c>
      <c r="R135">
        <f t="shared" si="350"/>
        <v>0</v>
      </c>
      <c r="S135">
        <f t="shared" si="338"/>
        <v>0</v>
      </c>
      <c r="T135">
        <f t="shared" si="339"/>
        <v>0</v>
      </c>
      <c r="U135">
        <f t="shared" si="340"/>
        <v>0</v>
      </c>
      <c r="V135">
        <f t="shared" si="341"/>
        <v>0</v>
      </c>
      <c r="W135">
        <f t="shared" si="342"/>
        <v>0</v>
      </c>
      <c r="X135">
        <f t="shared" si="343"/>
        <v>0</v>
      </c>
      <c r="Y135">
        <f t="shared" si="344"/>
        <v>0</v>
      </c>
      <c r="Z135">
        <f t="shared" si="345"/>
        <v>0</v>
      </c>
      <c r="AA135">
        <f t="shared" si="346"/>
        <v>0</v>
      </c>
      <c r="AB135">
        <f t="shared" si="347"/>
        <v>0</v>
      </c>
      <c r="AC135">
        <f t="shared" si="348"/>
        <v>0</v>
      </c>
      <c r="AD135">
        <f t="shared" si="349"/>
        <v>0</v>
      </c>
    </row>
    <row r="136" spans="1:30" x14ac:dyDescent="0.2">
      <c r="A136" t="s">
        <v>39</v>
      </c>
      <c r="B136" t="s">
        <v>111</v>
      </c>
      <c r="C136">
        <v>0</v>
      </c>
      <c r="D136">
        <v>9</v>
      </c>
      <c r="E136">
        <v>17.399999999999999</v>
      </c>
      <c r="F136">
        <v>26</v>
      </c>
      <c r="G136">
        <v>39.299999999999997</v>
      </c>
      <c r="H136">
        <v>65.7</v>
      </c>
      <c r="I136">
        <v>100</v>
      </c>
      <c r="J136">
        <v>114.8</v>
      </c>
      <c r="K136">
        <v>121.5</v>
      </c>
      <c r="L136">
        <v>124.8</v>
      </c>
      <c r="M136">
        <v>125.6</v>
      </c>
      <c r="N136">
        <v>125.9</v>
      </c>
      <c r="O136">
        <v>126</v>
      </c>
      <c r="P136" t="s">
        <v>10</v>
      </c>
      <c r="Q136" t="str">
        <f>VLOOKUP(A136,types,3)</f>
        <v>matig lichte zavel</v>
      </c>
      <c r="R136">
        <f t="shared" si="350"/>
        <v>0</v>
      </c>
      <c r="S136">
        <f t="shared" si="338"/>
        <v>0</v>
      </c>
      <c r="T136">
        <f t="shared" si="339"/>
        <v>0</v>
      </c>
      <c r="U136">
        <f t="shared" si="340"/>
        <v>0</v>
      </c>
      <c r="V136">
        <f t="shared" si="341"/>
        <v>0</v>
      </c>
      <c r="W136">
        <f t="shared" si="342"/>
        <v>0</v>
      </c>
      <c r="X136">
        <f t="shared" si="343"/>
        <v>0</v>
      </c>
      <c r="Y136">
        <f t="shared" si="344"/>
        <v>0</v>
      </c>
      <c r="Z136">
        <f t="shared" si="345"/>
        <v>0</v>
      </c>
      <c r="AA136">
        <f t="shared" si="346"/>
        <v>0</v>
      </c>
      <c r="AB136">
        <f t="shared" si="347"/>
        <v>0</v>
      </c>
      <c r="AC136">
        <f t="shared" si="348"/>
        <v>0</v>
      </c>
      <c r="AD136">
        <f t="shared" si="349"/>
        <v>0</v>
      </c>
    </row>
    <row r="138" spans="1:30" x14ac:dyDescent="0.2">
      <c r="A138" t="s">
        <v>40</v>
      </c>
      <c r="B138" t="s">
        <v>121</v>
      </c>
      <c r="C138">
        <v>2.2999999999999998</v>
      </c>
      <c r="D138">
        <v>0.44</v>
      </c>
      <c r="E138">
        <v>0.28000000000000003</v>
      </c>
      <c r="F138">
        <v>0.19</v>
      </c>
      <c r="G138">
        <v>0.11</v>
      </c>
      <c r="H138" s="4">
        <v>4.1500000000000002E-2</v>
      </c>
      <c r="I138" s="4">
        <v>8.0499999999999999E-3</v>
      </c>
      <c r="J138" s="4">
        <v>1.92E-3</v>
      </c>
      <c r="K138" s="4">
        <v>4.2200000000000001E-4</v>
      </c>
      <c r="L138" s="4">
        <v>5.3499999999999999E-5</v>
      </c>
      <c r="M138" s="4">
        <v>1.1E-5</v>
      </c>
      <c r="N138" s="4">
        <v>2.2500000000000001E-6</v>
      </c>
      <c r="O138" s="4">
        <v>7.6599999999999995E-7</v>
      </c>
      <c r="P138" t="s">
        <v>10</v>
      </c>
      <c r="Q138" t="str">
        <f>VLOOKUP(A138,types,3)</f>
        <v>zware zavel</v>
      </c>
      <c r="R138">
        <f>0*C138</f>
        <v>0</v>
      </c>
      <c r="S138">
        <f t="shared" ref="S138:S141" si="351">0*D138</f>
        <v>0</v>
      </c>
      <c r="T138">
        <f t="shared" ref="T138:T141" si="352">0*E138</f>
        <v>0</v>
      </c>
      <c r="U138">
        <f t="shared" ref="U138:U141" si="353">0*F138</f>
        <v>0</v>
      </c>
      <c r="V138">
        <f t="shared" ref="V138:V141" si="354">0*G138</f>
        <v>0</v>
      </c>
      <c r="W138">
        <f t="shared" ref="W138:W141" si="355">0*H138</f>
        <v>0</v>
      </c>
      <c r="X138">
        <f t="shared" ref="X138:X141" si="356">0*I138</f>
        <v>0</v>
      </c>
      <c r="Y138">
        <f t="shared" ref="Y138:Y141" si="357">0*J138</f>
        <v>0</v>
      </c>
      <c r="Z138">
        <f t="shared" ref="Z138:Z141" si="358">0*K138</f>
        <v>0</v>
      </c>
      <c r="AA138">
        <f t="shared" ref="AA138:AA141" si="359">0*L138</f>
        <v>0</v>
      </c>
      <c r="AB138">
        <f t="shared" ref="AB138:AB141" si="360">0*M138</f>
        <v>0</v>
      </c>
      <c r="AC138">
        <f t="shared" ref="AC138:AC141" si="361">0*N138</f>
        <v>0</v>
      </c>
      <c r="AD138">
        <f t="shared" ref="AD138:AD141" si="362">0*O138</f>
        <v>0</v>
      </c>
    </row>
    <row r="139" spans="1:30" x14ac:dyDescent="0.2">
      <c r="A139" t="s">
        <v>40</v>
      </c>
      <c r="B139" t="s">
        <v>127</v>
      </c>
      <c r="C139">
        <v>0.47199999999999998</v>
      </c>
      <c r="D139">
        <v>0.46700000000000003</v>
      </c>
      <c r="E139">
        <v>0.46100000000000002</v>
      </c>
      <c r="F139">
        <v>0.45400000000000001</v>
      </c>
      <c r="G139">
        <v>0.441</v>
      </c>
      <c r="H139">
        <v>0.41299999999999998</v>
      </c>
      <c r="I139">
        <v>0.35899999999999999</v>
      </c>
      <c r="J139">
        <v>0.313</v>
      </c>
      <c r="K139">
        <v>0.26900000000000002</v>
      </c>
      <c r="L139">
        <v>0.219</v>
      </c>
      <c r="M139">
        <v>0.186</v>
      </c>
      <c r="N139">
        <v>0.159</v>
      </c>
      <c r="O139">
        <v>0.14266999999999999</v>
      </c>
      <c r="P139" t="s">
        <v>10</v>
      </c>
      <c r="Q139" t="str">
        <f>VLOOKUP(A139,types,3)</f>
        <v>zware zavel</v>
      </c>
      <c r="R139">
        <f t="shared" ref="R139:R141" si="363">0*C139</f>
        <v>0</v>
      </c>
      <c r="S139">
        <f t="shared" si="351"/>
        <v>0</v>
      </c>
      <c r="T139">
        <f t="shared" si="352"/>
        <v>0</v>
      </c>
      <c r="U139">
        <f t="shared" si="353"/>
        <v>0</v>
      </c>
      <c r="V139">
        <f t="shared" si="354"/>
        <v>0</v>
      </c>
      <c r="W139">
        <f t="shared" si="355"/>
        <v>0</v>
      </c>
      <c r="X139">
        <f t="shared" si="356"/>
        <v>0</v>
      </c>
      <c r="Y139">
        <f t="shared" si="357"/>
        <v>0</v>
      </c>
      <c r="Z139">
        <f t="shared" si="358"/>
        <v>0</v>
      </c>
      <c r="AA139">
        <f t="shared" si="359"/>
        <v>0</v>
      </c>
      <c r="AB139">
        <f t="shared" si="360"/>
        <v>0</v>
      </c>
      <c r="AC139">
        <f t="shared" si="361"/>
        <v>0</v>
      </c>
      <c r="AD139">
        <f t="shared" si="362"/>
        <v>0</v>
      </c>
    </row>
    <row r="140" spans="1:30" x14ac:dyDescent="0.2">
      <c r="A140" t="s">
        <v>40</v>
      </c>
      <c r="B140" t="s">
        <v>126</v>
      </c>
      <c r="C140">
        <v>0</v>
      </c>
      <c r="D140">
        <v>8.6999999999999993</v>
      </c>
      <c r="E140">
        <v>16.399999999999999</v>
      </c>
      <c r="F140">
        <v>24</v>
      </c>
      <c r="G140">
        <v>35.1</v>
      </c>
      <c r="H140">
        <v>55</v>
      </c>
      <c r="I140">
        <v>77.8</v>
      </c>
      <c r="J140">
        <v>87.3</v>
      </c>
      <c r="K140">
        <v>91.8</v>
      </c>
      <c r="L140">
        <v>94.1</v>
      </c>
      <c r="M140">
        <v>94.7</v>
      </c>
      <c r="N140">
        <v>95</v>
      </c>
      <c r="O140">
        <v>95.1</v>
      </c>
      <c r="P140" t="s">
        <v>10</v>
      </c>
      <c r="Q140" t="str">
        <f>VLOOKUP(A140,types,3)</f>
        <v>zware zavel</v>
      </c>
      <c r="R140">
        <f t="shared" si="363"/>
        <v>0</v>
      </c>
      <c r="S140">
        <f t="shared" si="351"/>
        <v>0</v>
      </c>
      <c r="T140">
        <f t="shared" si="352"/>
        <v>0</v>
      </c>
      <c r="U140">
        <f t="shared" si="353"/>
        <v>0</v>
      </c>
      <c r="V140">
        <f t="shared" si="354"/>
        <v>0</v>
      </c>
      <c r="W140">
        <f t="shared" si="355"/>
        <v>0</v>
      </c>
      <c r="X140">
        <f t="shared" si="356"/>
        <v>0</v>
      </c>
      <c r="Y140">
        <f t="shared" si="357"/>
        <v>0</v>
      </c>
      <c r="Z140">
        <f t="shared" si="358"/>
        <v>0</v>
      </c>
      <c r="AA140">
        <f t="shared" si="359"/>
        <v>0</v>
      </c>
      <c r="AB140">
        <f t="shared" si="360"/>
        <v>0</v>
      </c>
      <c r="AC140">
        <f t="shared" si="361"/>
        <v>0</v>
      </c>
      <c r="AD140">
        <f t="shared" si="362"/>
        <v>0</v>
      </c>
    </row>
    <row r="141" spans="1:30" x14ac:dyDescent="0.2">
      <c r="A141" t="s">
        <v>40</v>
      </c>
      <c r="B141" t="s">
        <v>111</v>
      </c>
      <c r="C141">
        <v>0</v>
      </c>
      <c r="D141">
        <v>7.7</v>
      </c>
      <c r="E141">
        <v>14</v>
      </c>
      <c r="F141">
        <v>19.8</v>
      </c>
      <c r="G141">
        <v>27.7</v>
      </c>
      <c r="H141">
        <v>40.1</v>
      </c>
      <c r="I141">
        <v>52.7</v>
      </c>
      <c r="J141">
        <v>57.5</v>
      </c>
      <c r="K141">
        <v>59.8</v>
      </c>
      <c r="L141">
        <v>61</v>
      </c>
      <c r="M141">
        <v>61.3</v>
      </c>
      <c r="N141">
        <v>61.4</v>
      </c>
      <c r="O141">
        <v>61.4</v>
      </c>
      <c r="P141" t="s">
        <v>10</v>
      </c>
      <c r="Q141" t="str">
        <f>VLOOKUP(A141,types,3)</f>
        <v>zware zavel</v>
      </c>
      <c r="R141">
        <f t="shared" si="363"/>
        <v>0</v>
      </c>
      <c r="S141">
        <f t="shared" si="351"/>
        <v>0</v>
      </c>
      <c r="T141">
        <f t="shared" si="352"/>
        <v>0</v>
      </c>
      <c r="U141">
        <f t="shared" si="353"/>
        <v>0</v>
      </c>
      <c r="V141">
        <f t="shared" si="354"/>
        <v>0</v>
      </c>
      <c r="W141">
        <f t="shared" si="355"/>
        <v>0</v>
      </c>
      <c r="X141">
        <f t="shared" si="356"/>
        <v>0</v>
      </c>
      <c r="Y141">
        <f t="shared" si="357"/>
        <v>0</v>
      </c>
      <c r="Z141">
        <f t="shared" si="358"/>
        <v>0</v>
      </c>
      <c r="AA141">
        <f t="shared" si="359"/>
        <v>0</v>
      </c>
      <c r="AB141">
        <f t="shared" si="360"/>
        <v>0</v>
      </c>
      <c r="AC141">
        <f t="shared" si="361"/>
        <v>0</v>
      </c>
      <c r="AD141">
        <f t="shared" si="362"/>
        <v>0</v>
      </c>
    </row>
    <row r="143" spans="1:30" x14ac:dyDescent="0.2">
      <c r="A143" t="s">
        <v>41</v>
      </c>
      <c r="B143" t="s">
        <v>121</v>
      </c>
      <c r="C143">
        <v>2.12</v>
      </c>
      <c r="D143">
        <v>0.11</v>
      </c>
      <c r="E143">
        <v>0.06</v>
      </c>
      <c r="F143">
        <v>0.03</v>
      </c>
      <c r="G143" s="4">
        <v>1.6899999999999998E-2</v>
      </c>
      <c r="H143" s="4">
        <v>5.1599999999999997E-3</v>
      </c>
      <c r="I143" s="4">
        <v>7.6499999999999995E-4</v>
      </c>
      <c r="J143" s="4">
        <v>1.5300000000000001E-4</v>
      </c>
      <c r="K143" s="4">
        <v>2.8099999999999999E-5</v>
      </c>
      <c r="L143" s="4">
        <v>2.8399999999999999E-6</v>
      </c>
      <c r="M143" s="4">
        <v>4.9200000000000001E-7</v>
      </c>
      <c r="N143" s="4">
        <v>8.4600000000000003E-8</v>
      </c>
      <c r="O143" s="4">
        <v>2.5600000000000001E-8</v>
      </c>
      <c r="P143" t="s">
        <v>23</v>
      </c>
      <c r="Q143" t="str">
        <f>VLOOKUP(A143,types,3)</f>
        <v>lichte klei</v>
      </c>
      <c r="R143">
        <f>0*C143</f>
        <v>0</v>
      </c>
      <c r="S143">
        <f t="shared" ref="S143:S146" si="364">0*D143</f>
        <v>0</v>
      </c>
      <c r="T143">
        <f t="shared" ref="T143:T146" si="365">0*E143</f>
        <v>0</v>
      </c>
      <c r="U143">
        <f t="shared" ref="U143:U146" si="366">0*F143</f>
        <v>0</v>
      </c>
      <c r="V143">
        <f t="shared" ref="V143:V146" si="367">0*G143</f>
        <v>0</v>
      </c>
      <c r="W143">
        <f t="shared" ref="W143:W146" si="368">0*H143</f>
        <v>0</v>
      </c>
      <c r="X143">
        <f t="shared" ref="X143:X146" si="369">0*I143</f>
        <v>0</v>
      </c>
      <c r="Y143">
        <f t="shared" ref="Y143:Y146" si="370">0*J143</f>
        <v>0</v>
      </c>
      <c r="Z143">
        <f t="shared" ref="Z143:Z146" si="371">0*K143</f>
        <v>0</v>
      </c>
      <c r="AA143">
        <f t="shared" ref="AA143:AA146" si="372">0*L143</f>
        <v>0</v>
      </c>
      <c r="AB143">
        <f t="shared" ref="AB143:AB146" si="373">0*M143</f>
        <v>0</v>
      </c>
      <c r="AC143">
        <f t="shared" ref="AC143:AC146" si="374">0*N143</f>
        <v>0</v>
      </c>
      <c r="AD143">
        <f t="shared" ref="AD143:AD146" si="375">0*O143</f>
        <v>0</v>
      </c>
    </row>
    <row r="144" spans="1:30" x14ac:dyDescent="0.2">
      <c r="A144" t="s">
        <v>41</v>
      </c>
      <c r="B144" t="s">
        <v>127</v>
      </c>
      <c r="C144">
        <v>0.44400000000000001</v>
      </c>
      <c r="D144">
        <v>0.438</v>
      </c>
      <c r="E144">
        <v>0.433</v>
      </c>
      <c r="F144">
        <v>0.42699999999999999</v>
      </c>
      <c r="G144">
        <v>0.41799999999999998</v>
      </c>
      <c r="H144">
        <v>0.4</v>
      </c>
      <c r="I144">
        <v>0.36899999999999999</v>
      </c>
      <c r="J144">
        <v>0.34200000000000003</v>
      </c>
      <c r="K144">
        <v>0.316</v>
      </c>
      <c r="L144">
        <v>0.28199999999999997</v>
      </c>
      <c r="M144">
        <v>0.25900000000000001</v>
      </c>
      <c r="N144">
        <v>0.23699999999999999</v>
      </c>
      <c r="O144">
        <v>0.22364000000000001</v>
      </c>
      <c r="P144" t="s">
        <v>23</v>
      </c>
      <c r="Q144" t="str">
        <f>VLOOKUP(A144,types,3)</f>
        <v>lichte klei</v>
      </c>
      <c r="R144">
        <f t="shared" ref="R144:R146" si="376">0*C144</f>
        <v>0</v>
      </c>
      <c r="S144">
        <f t="shared" si="364"/>
        <v>0</v>
      </c>
      <c r="T144">
        <f t="shared" si="365"/>
        <v>0</v>
      </c>
      <c r="U144">
        <f t="shared" si="366"/>
        <v>0</v>
      </c>
      <c r="V144">
        <f t="shared" si="367"/>
        <v>0</v>
      </c>
      <c r="W144">
        <f t="shared" si="368"/>
        <v>0</v>
      </c>
      <c r="X144">
        <f t="shared" si="369"/>
        <v>0</v>
      </c>
      <c r="Y144">
        <f t="shared" si="370"/>
        <v>0</v>
      </c>
      <c r="Z144">
        <f t="shared" si="371"/>
        <v>0</v>
      </c>
      <c r="AA144">
        <f t="shared" si="372"/>
        <v>0</v>
      </c>
      <c r="AB144">
        <f t="shared" si="373"/>
        <v>0</v>
      </c>
      <c r="AC144">
        <f t="shared" si="374"/>
        <v>0</v>
      </c>
      <c r="AD144">
        <f t="shared" si="375"/>
        <v>0</v>
      </c>
    </row>
    <row r="145" spans="1:30" x14ac:dyDescent="0.2">
      <c r="A145" t="s">
        <v>41</v>
      </c>
      <c r="B145" t="s">
        <v>126</v>
      </c>
      <c r="C145">
        <v>0</v>
      </c>
      <c r="D145">
        <v>6.5</v>
      </c>
      <c r="E145">
        <v>10.8</v>
      </c>
      <c r="F145">
        <v>14.1</v>
      </c>
      <c r="G145">
        <v>17.7</v>
      </c>
      <c r="H145">
        <v>22</v>
      </c>
      <c r="I145">
        <v>25</v>
      </c>
      <c r="J145">
        <v>25.8</v>
      </c>
      <c r="K145">
        <v>26.2</v>
      </c>
      <c r="L145">
        <v>26.3</v>
      </c>
      <c r="M145">
        <v>26.3</v>
      </c>
      <c r="N145">
        <v>26.3</v>
      </c>
      <c r="O145">
        <v>26.3</v>
      </c>
      <c r="P145" t="s">
        <v>23</v>
      </c>
      <c r="Q145" t="str">
        <f>VLOOKUP(A145,types,3)</f>
        <v>lichte klei</v>
      </c>
      <c r="R145">
        <f t="shared" si="376"/>
        <v>0</v>
      </c>
      <c r="S145">
        <f t="shared" si="364"/>
        <v>0</v>
      </c>
      <c r="T145">
        <f t="shared" si="365"/>
        <v>0</v>
      </c>
      <c r="U145">
        <f t="shared" si="366"/>
        <v>0</v>
      </c>
      <c r="V145">
        <f t="shared" si="367"/>
        <v>0</v>
      </c>
      <c r="W145">
        <f t="shared" si="368"/>
        <v>0</v>
      </c>
      <c r="X145">
        <f t="shared" si="369"/>
        <v>0</v>
      </c>
      <c r="Y145">
        <f t="shared" si="370"/>
        <v>0</v>
      </c>
      <c r="Z145">
        <f t="shared" si="371"/>
        <v>0</v>
      </c>
      <c r="AA145">
        <f t="shared" si="372"/>
        <v>0</v>
      </c>
      <c r="AB145">
        <f t="shared" si="373"/>
        <v>0</v>
      </c>
      <c r="AC145">
        <f t="shared" si="374"/>
        <v>0</v>
      </c>
      <c r="AD145">
        <f t="shared" si="375"/>
        <v>0</v>
      </c>
    </row>
    <row r="146" spans="1:30" x14ac:dyDescent="0.2">
      <c r="A146" t="s">
        <v>41</v>
      </c>
      <c r="B146" t="s">
        <v>111</v>
      </c>
      <c r="C146">
        <v>0</v>
      </c>
      <c r="D146">
        <v>4.9000000000000004</v>
      </c>
      <c r="E146">
        <v>7.6</v>
      </c>
      <c r="F146">
        <v>9.5</v>
      </c>
      <c r="G146">
        <v>11.6</v>
      </c>
      <c r="H146">
        <v>13.8</v>
      </c>
      <c r="I146">
        <v>15.3</v>
      </c>
      <c r="J146">
        <v>15.8</v>
      </c>
      <c r="K146">
        <v>15.9</v>
      </c>
      <c r="L146">
        <v>16</v>
      </c>
      <c r="M146">
        <v>16</v>
      </c>
      <c r="N146">
        <v>16</v>
      </c>
      <c r="O146">
        <v>16</v>
      </c>
      <c r="P146" t="s">
        <v>23</v>
      </c>
      <c r="Q146" t="str">
        <f>VLOOKUP(A146,types,3)</f>
        <v>lichte klei</v>
      </c>
      <c r="R146">
        <f t="shared" si="376"/>
        <v>0</v>
      </c>
      <c r="S146">
        <f t="shared" si="364"/>
        <v>0</v>
      </c>
      <c r="T146">
        <f t="shared" si="365"/>
        <v>0</v>
      </c>
      <c r="U146">
        <f t="shared" si="366"/>
        <v>0</v>
      </c>
      <c r="V146">
        <f t="shared" si="367"/>
        <v>0</v>
      </c>
      <c r="W146">
        <f t="shared" si="368"/>
        <v>0</v>
      </c>
      <c r="X146">
        <f t="shared" si="369"/>
        <v>0</v>
      </c>
      <c r="Y146">
        <f t="shared" si="370"/>
        <v>0</v>
      </c>
      <c r="Z146">
        <f t="shared" si="371"/>
        <v>0</v>
      </c>
      <c r="AA146">
        <f t="shared" si="372"/>
        <v>0</v>
      </c>
      <c r="AB146">
        <f t="shared" si="373"/>
        <v>0</v>
      </c>
      <c r="AC146">
        <f t="shared" si="374"/>
        <v>0</v>
      </c>
      <c r="AD146">
        <f t="shared" si="375"/>
        <v>0</v>
      </c>
    </row>
    <row r="148" spans="1:30" x14ac:dyDescent="0.2">
      <c r="A148" t="s">
        <v>42</v>
      </c>
      <c r="B148" t="s">
        <v>121</v>
      </c>
      <c r="C148">
        <v>1.08</v>
      </c>
      <c r="D148">
        <v>0.12</v>
      </c>
      <c r="E148">
        <v>7.0000000000000007E-2</v>
      </c>
      <c r="F148">
        <v>0.05</v>
      </c>
      <c r="G148" s="4">
        <v>3.1800000000000002E-2</v>
      </c>
      <c r="H148" s="4">
        <v>1.4E-2</v>
      </c>
      <c r="I148" s="4">
        <v>3.7499999999999999E-3</v>
      </c>
      <c r="J148" s="4">
        <v>1.2099999999999999E-3</v>
      </c>
      <c r="K148" s="4">
        <v>3.6699999999999998E-4</v>
      </c>
      <c r="L148" s="4">
        <v>7.2200000000000007E-5</v>
      </c>
      <c r="M148" s="4">
        <v>2.0699999999999998E-5</v>
      </c>
      <c r="N148" s="4">
        <v>5.9200000000000001E-6</v>
      </c>
      <c r="O148" s="4">
        <v>2.5299999999999999E-6</v>
      </c>
      <c r="P148" t="s">
        <v>23</v>
      </c>
      <c r="Q148" t="str">
        <f>VLOOKUP(A148,types,3)</f>
        <v>matig zware klei</v>
      </c>
      <c r="R148">
        <f>0*C148</f>
        <v>0</v>
      </c>
      <c r="S148">
        <f t="shared" ref="S148:S151" si="377">0*D148</f>
        <v>0</v>
      </c>
      <c r="T148">
        <f t="shared" ref="T148:T151" si="378">0*E148</f>
        <v>0</v>
      </c>
      <c r="U148">
        <f t="shared" ref="U148:U151" si="379">0*F148</f>
        <v>0</v>
      </c>
      <c r="V148">
        <f t="shared" ref="V148:V151" si="380">0*G148</f>
        <v>0</v>
      </c>
      <c r="W148">
        <f t="shared" ref="W148:W151" si="381">0*H148</f>
        <v>0</v>
      </c>
      <c r="X148">
        <f t="shared" ref="X148:X151" si="382">0*I148</f>
        <v>0</v>
      </c>
      <c r="Y148">
        <f t="shared" ref="Y148:Y151" si="383">0*J148</f>
        <v>0</v>
      </c>
      <c r="Z148">
        <f t="shared" ref="Z148:Z151" si="384">0*K148</f>
        <v>0</v>
      </c>
      <c r="AA148">
        <f t="shared" ref="AA148:AA151" si="385">0*L148</f>
        <v>0</v>
      </c>
      <c r="AB148">
        <f t="shared" ref="AB148:AB151" si="386">0*M148</f>
        <v>0</v>
      </c>
      <c r="AC148">
        <f t="shared" ref="AC148:AC151" si="387">0*N148</f>
        <v>0</v>
      </c>
      <c r="AD148">
        <f t="shared" ref="AD148:AD151" si="388">0*O148</f>
        <v>0</v>
      </c>
    </row>
    <row r="149" spans="1:30" x14ac:dyDescent="0.2">
      <c r="A149" t="s">
        <v>42</v>
      </c>
      <c r="B149" t="s">
        <v>127</v>
      </c>
      <c r="C149">
        <v>0.56100000000000005</v>
      </c>
      <c r="D149">
        <v>0.55600000000000005</v>
      </c>
      <c r="E149">
        <v>0.55100000000000005</v>
      </c>
      <c r="F149">
        <v>0.54600000000000004</v>
      </c>
      <c r="G149">
        <v>0.53700000000000003</v>
      </c>
      <c r="H149">
        <v>0.51600000000000001</v>
      </c>
      <c r="I149">
        <v>0.47399999999999998</v>
      </c>
      <c r="J149">
        <v>0.436</v>
      </c>
      <c r="K149">
        <v>0.39600000000000002</v>
      </c>
      <c r="L149">
        <v>0.34599999999999997</v>
      </c>
      <c r="M149">
        <v>0.312</v>
      </c>
      <c r="N149">
        <v>0.28100000000000003</v>
      </c>
      <c r="O149">
        <v>0.26168999999999998</v>
      </c>
      <c r="P149" t="s">
        <v>23</v>
      </c>
      <c r="Q149" t="str">
        <f>VLOOKUP(A149,types,3)</f>
        <v>matig zware klei</v>
      </c>
      <c r="R149">
        <f t="shared" ref="R149:R151" si="389">0*C149</f>
        <v>0</v>
      </c>
      <c r="S149">
        <f t="shared" si="377"/>
        <v>0</v>
      </c>
      <c r="T149">
        <f t="shared" si="378"/>
        <v>0</v>
      </c>
      <c r="U149">
        <f t="shared" si="379"/>
        <v>0</v>
      </c>
      <c r="V149">
        <f t="shared" si="380"/>
        <v>0</v>
      </c>
      <c r="W149">
        <f t="shared" si="381"/>
        <v>0</v>
      </c>
      <c r="X149">
        <f t="shared" si="382"/>
        <v>0</v>
      </c>
      <c r="Y149">
        <f t="shared" si="383"/>
        <v>0</v>
      </c>
      <c r="Z149">
        <f t="shared" si="384"/>
        <v>0</v>
      </c>
      <c r="AA149">
        <f t="shared" si="385"/>
        <v>0</v>
      </c>
      <c r="AB149">
        <f t="shared" si="386"/>
        <v>0</v>
      </c>
      <c r="AC149">
        <f t="shared" si="387"/>
        <v>0</v>
      </c>
      <c r="AD149">
        <f t="shared" si="388"/>
        <v>0</v>
      </c>
    </row>
    <row r="150" spans="1:30" x14ac:dyDescent="0.2">
      <c r="A150" t="s">
        <v>42</v>
      </c>
      <c r="B150" t="s">
        <v>126</v>
      </c>
      <c r="C150">
        <v>0</v>
      </c>
      <c r="D150">
        <v>6.4</v>
      </c>
      <c r="E150">
        <v>11.2</v>
      </c>
      <c r="F150">
        <v>15.3</v>
      </c>
      <c r="G150">
        <v>20.7</v>
      </c>
      <c r="H150">
        <v>29.3</v>
      </c>
      <c r="I150">
        <v>39.299999999999997</v>
      </c>
      <c r="J150">
        <v>44.5</v>
      </c>
      <c r="K150">
        <v>47.8</v>
      </c>
      <c r="L150">
        <v>50.2</v>
      </c>
      <c r="M150">
        <v>51.2</v>
      </c>
      <c r="N150">
        <v>51.7</v>
      </c>
      <c r="O150">
        <v>52</v>
      </c>
      <c r="P150" t="s">
        <v>23</v>
      </c>
      <c r="Q150" t="str">
        <f>VLOOKUP(A150,types,3)</f>
        <v>matig zware klei</v>
      </c>
      <c r="R150">
        <f t="shared" si="389"/>
        <v>0</v>
      </c>
      <c r="S150">
        <f t="shared" si="377"/>
        <v>0</v>
      </c>
      <c r="T150">
        <f t="shared" si="378"/>
        <v>0</v>
      </c>
      <c r="U150">
        <f t="shared" si="379"/>
        <v>0</v>
      </c>
      <c r="V150">
        <f t="shared" si="380"/>
        <v>0</v>
      </c>
      <c r="W150">
        <f t="shared" si="381"/>
        <v>0</v>
      </c>
      <c r="X150">
        <f t="shared" si="382"/>
        <v>0</v>
      </c>
      <c r="Y150">
        <f t="shared" si="383"/>
        <v>0</v>
      </c>
      <c r="Z150">
        <f t="shared" si="384"/>
        <v>0</v>
      </c>
      <c r="AA150">
        <f t="shared" si="385"/>
        <v>0</v>
      </c>
      <c r="AB150">
        <f t="shared" si="386"/>
        <v>0</v>
      </c>
      <c r="AC150">
        <f t="shared" si="387"/>
        <v>0</v>
      </c>
      <c r="AD150">
        <f t="shared" si="388"/>
        <v>0</v>
      </c>
    </row>
    <row r="151" spans="1:30" x14ac:dyDescent="0.2">
      <c r="A151" t="s">
        <v>42</v>
      </c>
      <c r="B151" t="s">
        <v>111</v>
      </c>
      <c r="C151">
        <v>0</v>
      </c>
      <c r="D151">
        <v>4.8</v>
      </c>
      <c r="E151">
        <v>7.9</v>
      </c>
      <c r="F151">
        <v>10.4</v>
      </c>
      <c r="G151">
        <v>13.6</v>
      </c>
      <c r="H151">
        <v>18.3</v>
      </c>
      <c r="I151">
        <v>23.5</v>
      </c>
      <c r="J151">
        <v>26.1</v>
      </c>
      <c r="K151">
        <v>27.8</v>
      </c>
      <c r="L151">
        <v>29</v>
      </c>
      <c r="M151">
        <v>29.5</v>
      </c>
      <c r="N151">
        <v>29.8</v>
      </c>
      <c r="O151">
        <v>29.9</v>
      </c>
      <c r="P151" t="s">
        <v>23</v>
      </c>
      <c r="Q151" t="str">
        <f>VLOOKUP(A151,types,3)</f>
        <v>matig zware klei</v>
      </c>
      <c r="R151">
        <f t="shared" si="389"/>
        <v>0</v>
      </c>
      <c r="S151">
        <f t="shared" si="377"/>
        <v>0</v>
      </c>
      <c r="T151">
        <f t="shared" si="378"/>
        <v>0</v>
      </c>
      <c r="U151">
        <f t="shared" si="379"/>
        <v>0</v>
      </c>
      <c r="V151">
        <f t="shared" si="380"/>
        <v>0</v>
      </c>
      <c r="W151">
        <f t="shared" si="381"/>
        <v>0</v>
      </c>
      <c r="X151">
        <f t="shared" si="382"/>
        <v>0</v>
      </c>
      <c r="Y151">
        <f t="shared" si="383"/>
        <v>0</v>
      </c>
      <c r="Z151">
        <f t="shared" si="384"/>
        <v>0</v>
      </c>
      <c r="AA151">
        <f t="shared" si="385"/>
        <v>0</v>
      </c>
      <c r="AB151">
        <f t="shared" si="386"/>
        <v>0</v>
      </c>
      <c r="AC151">
        <f t="shared" si="387"/>
        <v>0</v>
      </c>
      <c r="AD151">
        <f t="shared" si="388"/>
        <v>0</v>
      </c>
    </row>
    <row r="153" spans="1:30" x14ac:dyDescent="0.2">
      <c r="A153" t="s">
        <v>42</v>
      </c>
      <c r="B153" t="s">
        <v>121</v>
      </c>
      <c r="C153">
        <v>9.69</v>
      </c>
      <c r="D153">
        <v>0.13</v>
      </c>
      <c r="E153">
        <v>7.0000000000000007E-2</v>
      </c>
      <c r="F153">
        <v>0.04</v>
      </c>
      <c r="G153" s="4">
        <v>2.1399999999999999E-2</v>
      </c>
      <c r="H153" s="4">
        <v>7.9500000000000005E-3</v>
      </c>
      <c r="I153" s="4">
        <v>1.92E-3</v>
      </c>
      <c r="J153" s="4">
        <v>6.2500000000000001E-4</v>
      </c>
      <c r="K153" s="4">
        <v>2.0000000000000001E-4</v>
      </c>
      <c r="L153" s="4">
        <v>4.3600000000000003E-5</v>
      </c>
      <c r="M153" s="4">
        <v>1.3699999999999999E-5</v>
      </c>
      <c r="N153" s="4">
        <v>4.3100000000000002E-6</v>
      </c>
      <c r="O153" s="4">
        <v>1.9599999999999999E-6</v>
      </c>
      <c r="P153" t="s">
        <v>23</v>
      </c>
      <c r="Q153" t="str">
        <f>VLOOKUP(A153,types,3)</f>
        <v>matig zware klei</v>
      </c>
      <c r="R153">
        <f>0*C153</f>
        <v>0</v>
      </c>
      <c r="S153">
        <f t="shared" ref="S153:S156" si="390">0*D153</f>
        <v>0</v>
      </c>
      <c r="T153">
        <f t="shared" ref="T153:T156" si="391">0*E153</f>
        <v>0</v>
      </c>
      <c r="U153">
        <f t="shared" ref="U153:U156" si="392">0*F153</f>
        <v>0</v>
      </c>
      <c r="V153">
        <f t="shared" ref="V153:V156" si="393">0*G153</f>
        <v>0</v>
      </c>
      <c r="W153">
        <f t="shared" ref="W153:W156" si="394">0*H153</f>
        <v>0</v>
      </c>
      <c r="X153">
        <f t="shared" ref="X153:X156" si="395">0*I153</f>
        <v>0</v>
      </c>
      <c r="Y153">
        <f t="shared" ref="Y153:Y156" si="396">0*J153</f>
        <v>0</v>
      </c>
      <c r="Z153">
        <f t="shared" ref="Z153:Z156" si="397">0*K153</f>
        <v>0</v>
      </c>
      <c r="AA153">
        <f t="shared" ref="AA153:AA156" si="398">0*L153</f>
        <v>0</v>
      </c>
      <c r="AB153">
        <f t="shared" ref="AB153:AB156" si="399">0*M153</f>
        <v>0</v>
      </c>
      <c r="AC153">
        <f t="shared" ref="AC153:AC156" si="400">0*N153</f>
        <v>0</v>
      </c>
      <c r="AD153">
        <f t="shared" ref="AD153:AD156" si="401">0*O153</f>
        <v>0</v>
      </c>
    </row>
    <row r="154" spans="1:30" x14ac:dyDescent="0.2">
      <c r="A154" t="s">
        <v>42</v>
      </c>
      <c r="B154" t="s">
        <v>127</v>
      </c>
      <c r="C154">
        <v>0.57299999999999995</v>
      </c>
      <c r="D154">
        <v>0.56399999999999995</v>
      </c>
      <c r="E154">
        <v>0.55600000000000005</v>
      </c>
      <c r="F154">
        <v>0.54800000000000004</v>
      </c>
      <c r="G154">
        <v>0.53700000000000003</v>
      </c>
      <c r="H154">
        <v>0.51800000000000002</v>
      </c>
      <c r="I154">
        <v>0.48799999999999999</v>
      </c>
      <c r="J154">
        <v>0.46400000000000002</v>
      </c>
      <c r="K154">
        <v>0.441</v>
      </c>
      <c r="L154">
        <v>0.41099999999999998</v>
      </c>
      <c r="M154">
        <v>0.38900000000000001</v>
      </c>
      <c r="N154">
        <v>0.36899999999999999</v>
      </c>
      <c r="O154">
        <v>0.35583999999999999</v>
      </c>
      <c r="P154" t="s">
        <v>23</v>
      </c>
      <c r="Q154" t="str">
        <f>VLOOKUP(A154,types,3)</f>
        <v>matig zware klei</v>
      </c>
      <c r="R154">
        <f t="shared" ref="R154:R156" si="402">0*C154</f>
        <v>0</v>
      </c>
      <c r="S154">
        <f t="shared" si="390"/>
        <v>0</v>
      </c>
      <c r="T154">
        <f t="shared" si="391"/>
        <v>0</v>
      </c>
      <c r="U154">
        <f t="shared" si="392"/>
        <v>0</v>
      </c>
      <c r="V154">
        <f t="shared" si="393"/>
        <v>0</v>
      </c>
      <c r="W154">
        <f t="shared" si="394"/>
        <v>0</v>
      </c>
      <c r="X154">
        <f t="shared" si="395"/>
        <v>0</v>
      </c>
      <c r="Y154">
        <f t="shared" si="396"/>
        <v>0</v>
      </c>
      <c r="Z154">
        <f t="shared" si="397"/>
        <v>0</v>
      </c>
      <c r="AA154">
        <f t="shared" si="398"/>
        <v>0</v>
      </c>
      <c r="AB154">
        <f t="shared" si="399"/>
        <v>0</v>
      </c>
      <c r="AC154">
        <f t="shared" si="400"/>
        <v>0</v>
      </c>
      <c r="AD154">
        <f t="shared" si="401"/>
        <v>0</v>
      </c>
    </row>
    <row r="155" spans="1:30" x14ac:dyDescent="0.2">
      <c r="A155" t="s">
        <v>42</v>
      </c>
      <c r="B155" t="s">
        <v>126</v>
      </c>
      <c r="C155">
        <v>0</v>
      </c>
      <c r="D155">
        <v>7.2</v>
      </c>
      <c r="E155">
        <v>12</v>
      </c>
      <c r="F155">
        <v>15.7</v>
      </c>
      <c r="G155">
        <v>19.899999999999999</v>
      </c>
      <c r="H155">
        <v>25.6</v>
      </c>
      <c r="I155">
        <v>31.1</v>
      </c>
      <c r="J155">
        <v>33.799999999999997</v>
      </c>
      <c r="K155">
        <v>35.6</v>
      </c>
      <c r="L155">
        <v>36.9</v>
      </c>
      <c r="M155">
        <v>37.5</v>
      </c>
      <c r="N155">
        <v>37.9</v>
      </c>
      <c r="O155">
        <v>38.1</v>
      </c>
      <c r="P155" t="s">
        <v>23</v>
      </c>
      <c r="Q155" t="str">
        <f>VLOOKUP(A155,types,3)</f>
        <v>matig zware klei</v>
      </c>
      <c r="R155">
        <f t="shared" si="402"/>
        <v>0</v>
      </c>
      <c r="S155">
        <f t="shared" si="390"/>
        <v>0</v>
      </c>
      <c r="T155">
        <f t="shared" si="391"/>
        <v>0</v>
      </c>
      <c r="U155">
        <f t="shared" si="392"/>
        <v>0</v>
      </c>
      <c r="V155">
        <f t="shared" si="393"/>
        <v>0</v>
      </c>
      <c r="W155">
        <f t="shared" si="394"/>
        <v>0</v>
      </c>
      <c r="X155">
        <f t="shared" si="395"/>
        <v>0</v>
      </c>
      <c r="Y155">
        <f t="shared" si="396"/>
        <v>0</v>
      </c>
      <c r="Z155">
        <f t="shared" si="397"/>
        <v>0</v>
      </c>
      <c r="AA155">
        <f t="shared" si="398"/>
        <v>0</v>
      </c>
      <c r="AB155">
        <f t="shared" si="399"/>
        <v>0</v>
      </c>
      <c r="AC155">
        <f t="shared" si="400"/>
        <v>0</v>
      </c>
      <c r="AD155">
        <f t="shared" si="401"/>
        <v>0</v>
      </c>
    </row>
    <row r="156" spans="1:30" x14ac:dyDescent="0.2">
      <c r="A156" t="s">
        <v>42</v>
      </c>
      <c r="B156" t="s">
        <v>111</v>
      </c>
      <c r="C156">
        <v>0</v>
      </c>
      <c r="D156">
        <v>5.7</v>
      </c>
      <c r="E156">
        <v>8.9</v>
      </c>
      <c r="F156">
        <v>11.1</v>
      </c>
      <c r="G156">
        <v>13.5</v>
      </c>
      <c r="H156">
        <v>16.5</v>
      </c>
      <c r="I156">
        <v>19.3</v>
      </c>
      <c r="J156">
        <v>20.7</v>
      </c>
      <c r="K156">
        <v>21.6</v>
      </c>
      <c r="L156">
        <v>22.3</v>
      </c>
      <c r="M156">
        <v>22.6</v>
      </c>
      <c r="N156">
        <v>22.7</v>
      </c>
      <c r="O156">
        <v>22.8</v>
      </c>
      <c r="P156" t="s">
        <v>23</v>
      </c>
      <c r="Q156" t="str">
        <f>VLOOKUP(A156,types,3)</f>
        <v>matig zware klei</v>
      </c>
      <c r="R156">
        <f t="shared" si="402"/>
        <v>0</v>
      </c>
      <c r="S156">
        <f t="shared" si="390"/>
        <v>0</v>
      </c>
      <c r="T156">
        <f t="shared" si="391"/>
        <v>0</v>
      </c>
      <c r="U156">
        <f t="shared" si="392"/>
        <v>0</v>
      </c>
      <c r="V156">
        <f t="shared" si="393"/>
        <v>0</v>
      </c>
      <c r="W156">
        <f t="shared" si="394"/>
        <v>0</v>
      </c>
      <c r="X156">
        <f t="shared" si="395"/>
        <v>0</v>
      </c>
      <c r="Y156">
        <f t="shared" si="396"/>
        <v>0</v>
      </c>
      <c r="Z156">
        <f t="shared" si="397"/>
        <v>0</v>
      </c>
      <c r="AA156">
        <f t="shared" si="398"/>
        <v>0</v>
      </c>
      <c r="AB156">
        <f t="shared" si="399"/>
        <v>0</v>
      </c>
      <c r="AC156">
        <f t="shared" si="400"/>
        <v>0</v>
      </c>
      <c r="AD156">
        <f t="shared" si="401"/>
        <v>0</v>
      </c>
    </row>
    <row r="158" spans="1:30" x14ac:dyDescent="0.2">
      <c r="A158" t="s">
        <v>44</v>
      </c>
      <c r="B158" t="s">
        <v>121</v>
      </c>
      <c r="C158">
        <v>2.5</v>
      </c>
      <c r="D158">
        <v>1.92</v>
      </c>
      <c r="E158">
        <v>1.65</v>
      </c>
      <c r="F158">
        <v>1.43</v>
      </c>
      <c r="G158">
        <v>1.1399999999999999</v>
      </c>
      <c r="H158" s="4">
        <v>0.66700000000000004</v>
      </c>
      <c r="I158" s="4">
        <v>0.17699999999999999</v>
      </c>
      <c r="J158" s="4">
        <v>3.44E-2</v>
      </c>
      <c r="K158" s="4">
        <v>4.28E-3</v>
      </c>
      <c r="L158" s="4">
        <v>1.95E-4</v>
      </c>
      <c r="M158" s="4">
        <v>1.7200000000000001E-5</v>
      </c>
      <c r="N158" s="4">
        <v>1.4899999999999999E-6</v>
      </c>
      <c r="O158" s="4">
        <v>2.8099999999999999E-7</v>
      </c>
      <c r="P158" t="s">
        <v>16</v>
      </c>
      <c r="Q158" t="str">
        <f>VLOOKUP(A158,types,3)</f>
        <v>zandige leem</v>
      </c>
      <c r="R158">
        <f>0*C158</f>
        <v>0</v>
      </c>
      <c r="S158">
        <f t="shared" ref="S158:S161" si="403">0*D158</f>
        <v>0</v>
      </c>
      <c r="T158">
        <f t="shared" ref="T158:T161" si="404">0*E158</f>
        <v>0</v>
      </c>
      <c r="U158">
        <f t="shared" ref="U158:U161" si="405">0*F158</f>
        <v>0</v>
      </c>
      <c r="V158">
        <f t="shared" ref="V158:V161" si="406">0*G158</f>
        <v>0</v>
      </c>
      <c r="W158">
        <f t="shared" ref="W158:W161" si="407">0*H158</f>
        <v>0</v>
      </c>
      <c r="X158">
        <f t="shared" ref="X158:X161" si="408">0*I158</f>
        <v>0</v>
      </c>
      <c r="Y158">
        <f t="shared" ref="Y158:Y161" si="409">0*J158</f>
        <v>0</v>
      </c>
      <c r="Z158">
        <f t="shared" ref="Z158:Z161" si="410">0*K158</f>
        <v>0</v>
      </c>
      <c r="AA158">
        <f t="shared" ref="AA158:AA161" si="411">0*L158</f>
        <v>0</v>
      </c>
      <c r="AB158">
        <f t="shared" ref="AB158:AB161" si="412">0*M158</f>
        <v>0</v>
      </c>
      <c r="AC158">
        <f t="shared" ref="AC158:AC161" si="413">0*N158</f>
        <v>0</v>
      </c>
      <c r="AD158">
        <f t="shared" ref="AD158:AD161" si="414">0*O158</f>
        <v>0</v>
      </c>
    </row>
    <row r="159" spans="1:30" x14ac:dyDescent="0.2">
      <c r="A159" t="s">
        <v>44</v>
      </c>
      <c r="B159" t="s">
        <v>127</v>
      </c>
      <c r="C159">
        <v>0.39400000000000002</v>
      </c>
      <c r="D159">
        <v>0.39300000000000002</v>
      </c>
      <c r="E159">
        <v>0.39200000000000002</v>
      </c>
      <c r="F159">
        <v>0.39</v>
      </c>
      <c r="G159">
        <v>0.38600000000000001</v>
      </c>
      <c r="H159">
        <v>0.372</v>
      </c>
      <c r="I159">
        <v>0.32200000000000001</v>
      </c>
      <c r="J159">
        <v>0.255</v>
      </c>
      <c r="K159">
        <v>0.185</v>
      </c>
      <c r="L159">
        <v>0.113</v>
      </c>
      <c r="M159">
        <v>7.8E-2</v>
      </c>
      <c r="N159">
        <v>5.5E-2</v>
      </c>
      <c r="O159">
        <v>4.333E-2</v>
      </c>
      <c r="P159" t="s">
        <v>16</v>
      </c>
      <c r="Q159" t="str">
        <f>VLOOKUP(A159,types,3)</f>
        <v>zandige leem</v>
      </c>
      <c r="R159">
        <f t="shared" ref="R159:R161" si="415">0*C159</f>
        <v>0</v>
      </c>
      <c r="S159">
        <f t="shared" si="403"/>
        <v>0</v>
      </c>
      <c r="T159">
        <f t="shared" si="404"/>
        <v>0</v>
      </c>
      <c r="U159">
        <f t="shared" si="405"/>
        <v>0</v>
      </c>
      <c r="V159">
        <f t="shared" si="406"/>
        <v>0</v>
      </c>
      <c r="W159">
        <f t="shared" si="407"/>
        <v>0</v>
      </c>
      <c r="X159">
        <f t="shared" si="408"/>
        <v>0</v>
      </c>
      <c r="Y159">
        <f t="shared" si="409"/>
        <v>0</v>
      </c>
      <c r="Z159">
        <f t="shared" si="410"/>
        <v>0</v>
      </c>
      <c r="AA159">
        <f t="shared" si="411"/>
        <v>0</v>
      </c>
      <c r="AB159">
        <f t="shared" si="412"/>
        <v>0</v>
      </c>
      <c r="AC159">
        <f t="shared" si="413"/>
        <v>0</v>
      </c>
      <c r="AD159">
        <f t="shared" si="414"/>
        <v>0</v>
      </c>
    </row>
    <row r="160" spans="1:30" x14ac:dyDescent="0.2">
      <c r="A160" t="s">
        <v>44</v>
      </c>
      <c r="B160" t="s">
        <v>126</v>
      </c>
      <c r="C160">
        <v>0</v>
      </c>
      <c r="D160">
        <v>9.6</v>
      </c>
      <c r="E160">
        <v>19</v>
      </c>
      <c r="F160">
        <v>29.3</v>
      </c>
      <c r="G160">
        <v>47</v>
      </c>
      <c r="H160">
        <v>91.7</v>
      </c>
      <c r="I160">
        <v>206.2</v>
      </c>
      <c r="J160">
        <v>313.5</v>
      </c>
      <c r="K160">
        <v>369.8</v>
      </c>
      <c r="L160">
        <v>385.8</v>
      </c>
      <c r="M160">
        <v>387.4</v>
      </c>
      <c r="N160">
        <v>387.6</v>
      </c>
      <c r="O160">
        <v>387.7</v>
      </c>
      <c r="P160" t="s">
        <v>16</v>
      </c>
      <c r="Q160" t="str">
        <f>VLOOKUP(A160,types,3)</f>
        <v>zandige leem</v>
      </c>
      <c r="R160">
        <f t="shared" si="415"/>
        <v>0</v>
      </c>
      <c r="S160">
        <f t="shared" si="403"/>
        <v>0</v>
      </c>
      <c r="T160">
        <f t="shared" si="404"/>
        <v>0</v>
      </c>
      <c r="U160">
        <f t="shared" si="405"/>
        <v>0</v>
      </c>
      <c r="V160">
        <f t="shared" si="406"/>
        <v>0</v>
      </c>
      <c r="W160">
        <f t="shared" si="407"/>
        <v>0</v>
      </c>
      <c r="X160">
        <f t="shared" si="408"/>
        <v>0</v>
      </c>
      <c r="Y160">
        <f t="shared" si="409"/>
        <v>0</v>
      </c>
      <c r="Z160">
        <f t="shared" si="410"/>
        <v>0</v>
      </c>
      <c r="AA160">
        <f t="shared" si="411"/>
        <v>0</v>
      </c>
      <c r="AB160">
        <f t="shared" si="412"/>
        <v>0</v>
      </c>
      <c r="AC160">
        <f t="shared" si="413"/>
        <v>0</v>
      </c>
      <c r="AD160">
        <f t="shared" si="414"/>
        <v>0</v>
      </c>
    </row>
    <row r="161" spans="1:30" x14ac:dyDescent="0.2">
      <c r="A161" t="s">
        <v>44</v>
      </c>
      <c r="B161" t="s">
        <v>111</v>
      </c>
      <c r="C161">
        <v>0</v>
      </c>
      <c r="D161">
        <v>9.1</v>
      </c>
      <c r="E161">
        <v>18.100000000000001</v>
      </c>
      <c r="F161">
        <v>27.9</v>
      </c>
      <c r="G161">
        <v>44.3</v>
      </c>
      <c r="H161">
        <v>84.8</v>
      </c>
      <c r="I161">
        <v>178.1</v>
      </c>
      <c r="J161">
        <v>248.1</v>
      </c>
      <c r="K161">
        <v>278.39999999999998</v>
      </c>
      <c r="L161">
        <v>286.5</v>
      </c>
      <c r="M161">
        <v>287.3</v>
      </c>
      <c r="N161">
        <v>287.39999999999998</v>
      </c>
      <c r="O161">
        <v>287.5</v>
      </c>
      <c r="P161" t="s">
        <v>16</v>
      </c>
      <c r="Q161" t="str">
        <f>VLOOKUP(A161,types,3)</f>
        <v>zandige leem</v>
      </c>
      <c r="R161">
        <f t="shared" si="415"/>
        <v>0</v>
      </c>
      <c r="S161">
        <f t="shared" si="403"/>
        <v>0</v>
      </c>
      <c r="T161">
        <f t="shared" si="404"/>
        <v>0</v>
      </c>
      <c r="U161">
        <f t="shared" si="405"/>
        <v>0</v>
      </c>
      <c r="V161">
        <f t="shared" si="406"/>
        <v>0</v>
      </c>
      <c r="W161">
        <f t="shared" si="407"/>
        <v>0</v>
      </c>
      <c r="X161">
        <f t="shared" si="408"/>
        <v>0</v>
      </c>
      <c r="Y161">
        <f t="shared" si="409"/>
        <v>0</v>
      </c>
      <c r="Z161">
        <f t="shared" si="410"/>
        <v>0</v>
      </c>
      <c r="AA161">
        <f t="shared" si="411"/>
        <v>0</v>
      </c>
      <c r="AB161">
        <f t="shared" si="412"/>
        <v>0</v>
      </c>
      <c r="AC161">
        <f t="shared" si="413"/>
        <v>0</v>
      </c>
      <c r="AD161">
        <f t="shared" si="414"/>
        <v>0</v>
      </c>
    </row>
    <row r="163" spans="1:30" x14ac:dyDescent="0.2">
      <c r="A163" t="s">
        <v>45</v>
      </c>
      <c r="B163" t="s">
        <v>121</v>
      </c>
      <c r="C163">
        <v>2.79</v>
      </c>
      <c r="D163">
        <v>0.77</v>
      </c>
      <c r="E163">
        <v>0.51</v>
      </c>
      <c r="F163">
        <v>0.36</v>
      </c>
      <c r="G163">
        <v>0.22</v>
      </c>
      <c r="H163" s="4">
        <v>8.6999999999999994E-2</v>
      </c>
      <c r="I163" s="4">
        <v>1.6199999999999999E-2</v>
      </c>
      <c r="J163" s="4">
        <v>3.48E-3</v>
      </c>
      <c r="K163" s="4">
        <v>6.5399999999999996E-4</v>
      </c>
      <c r="L163" s="4">
        <v>6.5500000000000006E-5</v>
      </c>
      <c r="M163" s="4">
        <v>1.1199999999999999E-5</v>
      </c>
      <c r="N163" s="4">
        <v>1.8899999999999999E-6</v>
      </c>
      <c r="O163" s="4">
        <v>5.6400000000000002E-7</v>
      </c>
      <c r="P163" t="s">
        <v>16</v>
      </c>
      <c r="Q163" t="str">
        <f>VLOOKUP(A163,types,3)</f>
        <v>siltige leem</v>
      </c>
      <c r="R163">
        <f>0*C163</f>
        <v>0</v>
      </c>
      <c r="S163">
        <f t="shared" ref="S163:S166" si="416">0*D163</f>
        <v>0</v>
      </c>
      <c r="T163">
        <f t="shared" ref="T163:T166" si="417">0*E163</f>
        <v>0</v>
      </c>
      <c r="U163">
        <f t="shared" ref="U163:U166" si="418">0*F163</f>
        <v>0</v>
      </c>
      <c r="V163">
        <f t="shared" ref="V163:V166" si="419">0*G163</f>
        <v>0</v>
      </c>
      <c r="W163">
        <f t="shared" ref="W163:W166" si="420">0*H163</f>
        <v>0</v>
      </c>
      <c r="X163">
        <f t="shared" ref="X163:X166" si="421">0*I163</f>
        <v>0</v>
      </c>
      <c r="Y163">
        <f t="shared" ref="Y163:Y166" si="422">0*J163</f>
        <v>0</v>
      </c>
      <c r="Z163">
        <f t="shared" ref="Z163:Z166" si="423">0*K163</f>
        <v>0</v>
      </c>
      <c r="AA163">
        <f t="shared" ref="AA163:AA166" si="424">0*L163</f>
        <v>0</v>
      </c>
      <c r="AB163">
        <f t="shared" ref="AB163:AB166" si="425">0*M163</f>
        <v>0</v>
      </c>
      <c r="AC163">
        <f t="shared" ref="AC163:AC166" si="426">0*N163</f>
        <v>0</v>
      </c>
      <c r="AD163">
        <f t="shared" ref="AD163:AD166" si="427">0*O163</f>
        <v>0</v>
      </c>
    </row>
    <row r="164" spans="1:30" x14ac:dyDescent="0.2">
      <c r="A164" t="s">
        <v>45</v>
      </c>
      <c r="B164" t="s">
        <v>127</v>
      </c>
      <c r="C164">
        <v>0.41</v>
      </c>
      <c r="D164">
        <v>0.40699999999999997</v>
      </c>
      <c r="E164">
        <v>0.40200000000000002</v>
      </c>
      <c r="F164">
        <v>0.39700000000000002</v>
      </c>
      <c r="G164">
        <v>0.38800000000000001</v>
      </c>
      <c r="H164">
        <v>0.36399999999999999</v>
      </c>
      <c r="I164">
        <v>0.316</v>
      </c>
      <c r="J164">
        <v>0.27100000000000002</v>
      </c>
      <c r="K164">
        <v>0.22900000000000001</v>
      </c>
      <c r="L164">
        <v>0.18</v>
      </c>
      <c r="M164">
        <v>0.15</v>
      </c>
      <c r="N164">
        <v>0.125</v>
      </c>
      <c r="O164">
        <v>0.11007</v>
      </c>
      <c r="P164" t="s">
        <v>16</v>
      </c>
      <c r="Q164" t="str">
        <f>VLOOKUP(A164,types,3)</f>
        <v>siltige leem</v>
      </c>
      <c r="R164">
        <f t="shared" ref="R164:R166" si="428">0*C164</f>
        <v>0</v>
      </c>
      <c r="S164">
        <f t="shared" si="416"/>
        <v>0</v>
      </c>
      <c r="T164">
        <f t="shared" si="417"/>
        <v>0</v>
      </c>
      <c r="U164">
        <f t="shared" si="418"/>
        <v>0</v>
      </c>
      <c r="V164">
        <f t="shared" si="419"/>
        <v>0</v>
      </c>
      <c r="W164">
        <f t="shared" si="420"/>
        <v>0</v>
      </c>
      <c r="X164">
        <f t="shared" si="421"/>
        <v>0</v>
      </c>
      <c r="Y164">
        <f t="shared" si="422"/>
        <v>0</v>
      </c>
      <c r="Z164">
        <f t="shared" si="423"/>
        <v>0</v>
      </c>
      <c r="AA164">
        <f t="shared" si="424"/>
        <v>0</v>
      </c>
      <c r="AB164">
        <f t="shared" si="425"/>
        <v>0</v>
      </c>
      <c r="AC164">
        <f t="shared" si="426"/>
        <v>0</v>
      </c>
      <c r="AD164">
        <f t="shared" si="427"/>
        <v>0</v>
      </c>
    </row>
    <row r="165" spans="1:30" x14ac:dyDescent="0.2">
      <c r="A165" t="s">
        <v>45</v>
      </c>
      <c r="B165" t="s">
        <v>126</v>
      </c>
      <c r="C165">
        <v>0</v>
      </c>
      <c r="D165">
        <v>9.1</v>
      </c>
      <c r="E165">
        <v>17.7</v>
      </c>
      <c r="F165">
        <v>26.6</v>
      </c>
      <c r="G165">
        <v>40.6</v>
      </c>
      <c r="H165">
        <v>69.2</v>
      </c>
      <c r="I165">
        <v>109.1</v>
      </c>
      <c r="J165">
        <v>126.7</v>
      </c>
      <c r="K165">
        <v>134.30000000000001</v>
      </c>
      <c r="L165">
        <v>137.6</v>
      </c>
      <c r="M165">
        <v>138.30000000000001</v>
      </c>
      <c r="N165">
        <v>138.5</v>
      </c>
      <c r="O165">
        <v>138.6</v>
      </c>
      <c r="P165" t="s">
        <v>16</v>
      </c>
      <c r="Q165" t="str">
        <f>VLOOKUP(A165,types,3)</f>
        <v>siltige leem</v>
      </c>
      <c r="R165">
        <f t="shared" si="428"/>
        <v>0</v>
      </c>
      <c r="S165">
        <f t="shared" si="416"/>
        <v>0</v>
      </c>
      <c r="T165">
        <f t="shared" si="417"/>
        <v>0</v>
      </c>
      <c r="U165">
        <f t="shared" si="418"/>
        <v>0</v>
      </c>
      <c r="V165">
        <f t="shared" si="419"/>
        <v>0</v>
      </c>
      <c r="W165">
        <f t="shared" si="420"/>
        <v>0</v>
      </c>
      <c r="X165">
        <f t="shared" si="421"/>
        <v>0</v>
      </c>
      <c r="Y165">
        <f t="shared" si="422"/>
        <v>0</v>
      </c>
      <c r="Z165">
        <f t="shared" si="423"/>
        <v>0</v>
      </c>
      <c r="AA165">
        <f t="shared" si="424"/>
        <v>0</v>
      </c>
      <c r="AB165">
        <f t="shared" si="425"/>
        <v>0</v>
      </c>
      <c r="AC165">
        <f t="shared" si="426"/>
        <v>0</v>
      </c>
      <c r="AD165">
        <f t="shared" si="427"/>
        <v>0</v>
      </c>
    </row>
    <row r="166" spans="1:30" x14ac:dyDescent="0.2">
      <c r="A166" t="s">
        <v>45</v>
      </c>
      <c r="B166" t="s">
        <v>111</v>
      </c>
      <c r="C166">
        <v>0</v>
      </c>
      <c r="D166">
        <v>8.4</v>
      </c>
      <c r="E166">
        <v>16</v>
      </c>
      <c r="F166">
        <v>23.4</v>
      </c>
      <c r="G166">
        <v>34.5</v>
      </c>
      <c r="H166">
        <v>54.6</v>
      </c>
      <c r="I166">
        <v>78.2</v>
      </c>
      <c r="J166">
        <v>87.4</v>
      </c>
      <c r="K166">
        <v>91.2</v>
      </c>
      <c r="L166">
        <v>92.8</v>
      </c>
      <c r="M166">
        <v>93.2</v>
      </c>
      <c r="N166">
        <v>93.3</v>
      </c>
      <c r="O166">
        <v>93.3</v>
      </c>
      <c r="P166" t="s">
        <v>16</v>
      </c>
      <c r="Q166" t="str">
        <f>VLOOKUP(A166,types,3)</f>
        <v>siltige leem</v>
      </c>
      <c r="R166">
        <f t="shared" si="428"/>
        <v>0</v>
      </c>
      <c r="S166">
        <f t="shared" si="416"/>
        <v>0</v>
      </c>
      <c r="T166">
        <f t="shared" si="417"/>
        <v>0</v>
      </c>
      <c r="U166">
        <f t="shared" si="418"/>
        <v>0</v>
      </c>
      <c r="V166">
        <f t="shared" si="419"/>
        <v>0</v>
      </c>
      <c r="W166">
        <f t="shared" si="420"/>
        <v>0</v>
      </c>
      <c r="X166">
        <f t="shared" si="421"/>
        <v>0</v>
      </c>
      <c r="Y166">
        <f t="shared" si="422"/>
        <v>0</v>
      </c>
      <c r="Z166">
        <f t="shared" si="423"/>
        <v>0</v>
      </c>
      <c r="AA166">
        <f t="shared" si="424"/>
        <v>0</v>
      </c>
      <c r="AB166">
        <f t="shared" si="425"/>
        <v>0</v>
      </c>
      <c r="AC166">
        <f t="shared" si="426"/>
        <v>0</v>
      </c>
      <c r="AD166">
        <f t="shared" si="427"/>
        <v>0</v>
      </c>
    </row>
    <row r="168" spans="1:30" x14ac:dyDescent="0.2">
      <c r="A168" t="s">
        <v>46</v>
      </c>
      <c r="B168" t="s">
        <v>121</v>
      </c>
      <c r="C168">
        <v>1.46</v>
      </c>
      <c r="D168">
        <v>0.49</v>
      </c>
      <c r="E168">
        <v>0.32</v>
      </c>
      <c r="F168">
        <v>0.22</v>
      </c>
      <c r="G168" s="4">
        <v>0.13300000000000001</v>
      </c>
      <c r="H168" s="4">
        <v>4.9399999999999999E-2</v>
      </c>
      <c r="I168" s="4">
        <v>8.5800000000000008E-3</v>
      </c>
      <c r="J168" s="4">
        <v>1.82E-3</v>
      </c>
      <c r="K168" s="4">
        <v>3.4900000000000003E-4</v>
      </c>
      <c r="L168" s="4">
        <v>3.6999999999999998E-5</v>
      </c>
      <c r="M168" s="4">
        <v>6.6599999999999998E-6</v>
      </c>
      <c r="N168" s="4">
        <v>1.19E-6</v>
      </c>
      <c r="O168" s="4">
        <v>3.7099999999999997E-7</v>
      </c>
      <c r="P168" t="s">
        <v>24</v>
      </c>
      <c r="Q168" t="str">
        <f>VLOOKUP(A168,types,3)</f>
        <v>oligotroof veen</v>
      </c>
      <c r="R168">
        <f>0*C168</f>
        <v>0</v>
      </c>
      <c r="S168">
        <f t="shared" ref="S168:S171" si="429">0*D168</f>
        <v>0</v>
      </c>
      <c r="T168">
        <f t="shared" ref="T168:T171" si="430">0*E168</f>
        <v>0</v>
      </c>
      <c r="U168">
        <f t="shared" ref="U168:U171" si="431">0*F168</f>
        <v>0</v>
      </c>
      <c r="V168">
        <f t="shared" ref="V168:V171" si="432">0*G168</f>
        <v>0</v>
      </c>
      <c r="W168">
        <f t="shared" ref="W168:W171" si="433">0*H168</f>
        <v>0</v>
      </c>
      <c r="X168">
        <f t="shared" ref="X168:X171" si="434">0*I168</f>
        <v>0</v>
      </c>
      <c r="Y168">
        <f t="shared" ref="Y168:Y171" si="435">0*J168</f>
        <v>0</v>
      </c>
      <c r="Z168">
        <f t="shared" ref="Z168:Z171" si="436">0*K168</f>
        <v>0</v>
      </c>
      <c r="AA168">
        <f t="shared" ref="AA168:AA171" si="437">0*L168</f>
        <v>0</v>
      </c>
      <c r="AB168">
        <f t="shared" ref="AB168:AB171" si="438">0*M168</f>
        <v>0</v>
      </c>
      <c r="AC168">
        <f t="shared" ref="AC168:AC171" si="439">0*N168</f>
        <v>0</v>
      </c>
      <c r="AD168">
        <f t="shared" ref="AD168:AD171" si="440">0*O168</f>
        <v>0</v>
      </c>
    </row>
    <row r="169" spans="1:30" x14ac:dyDescent="0.2">
      <c r="A169" t="s">
        <v>46</v>
      </c>
      <c r="B169" t="s">
        <v>127</v>
      </c>
      <c r="C169">
        <v>0.88900000000000001</v>
      </c>
      <c r="D169">
        <v>0.88</v>
      </c>
      <c r="E169">
        <v>0.86499999999999999</v>
      </c>
      <c r="F169">
        <v>0.84799999999999998</v>
      </c>
      <c r="G169">
        <v>0.81699999999999995</v>
      </c>
      <c r="H169">
        <v>0.74299999999999999</v>
      </c>
      <c r="I169">
        <v>0.60099999999999998</v>
      </c>
      <c r="J169">
        <v>0.48599999999999999</v>
      </c>
      <c r="K169">
        <v>0.38500000000000001</v>
      </c>
      <c r="L169">
        <v>0.27800000000000002</v>
      </c>
      <c r="M169">
        <v>0.216</v>
      </c>
      <c r="N169">
        <v>0.16800000000000001</v>
      </c>
      <c r="O169">
        <v>0.14196</v>
      </c>
      <c r="P169" t="s">
        <v>24</v>
      </c>
      <c r="Q169" t="str">
        <f>VLOOKUP(A169,types,3)</f>
        <v>oligotroof veen</v>
      </c>
      <c r="R169">
        <f t="shared" ref="R169:R171" si="441">0*C169</f>
        <v>0</v>
      </c>
      <c r="S169">
        <f t="shared" si="429"/>
        <v>0</v>
      </c>
      <c r="T169">
        <f t="shared" si="430"/>
        <v>0</v>
      </c>
      <c r="U169">
        <f t="shared" si="431"/>
        <v>0</v>
      </c>
      <c r="V169">
        <f t="shared" si="432"/>
        <v>0</v>
      </c>
      <c r="W169">
        <f t="shared" si="433"/>
        <v>0</v>
      </c>
      <c r="X169">
        <f t="shared" si="434"/>
        <v>0</v>
      </c>
      <c r="Y169">
        <f t="shared" si="435"/>
        <v>0</v>
      </c>
      <c r="Z169">
        <f t="shared" si="436"/>
        <v>0</v>
      </c>
      <c r="AA169">
        <f t="shared" si="437"/>
        <v>0</v>
      </c>
      <c r="AB169">
        <f t="shared" si="438"/>
        <v>0</v>
      </c>
      <c r="AC169">
        <f t="shared" si="439"/>
        <v>0</v>
      </c>
      <c r="AD169">
        <f t="shared" si="440"/>
        <v>0</v>
      </c>
    </row>
    <row r="170" spans="1:30" x14ac:dyDescent="0.2">
      <c r="A170" t="s">
        <v>46</v>
      </c>
      <c r="B170" t="s">
        <v>126</v>
      </c>
      <c r="C170">
        <v>0</v>
      </c>
      <c r="D170">
        <v>8.6999999999999993</v>
      </c>
      <c r="E170">
        <v>16.7</v>
      </c>
      <c r="F170">
        <v>24.6</v>
      </c>
      <c r="G170">
        <v>36.6</v>
      </c>
      <c r="H170">
        <v>58.7</v>
      </c>
      <c r="I170">
        <v>84</v>
      </c>
      <c r="J170">
        <v>93.6</v>
      </c>
      <c r="K170">
        <v>97.7</v>
      </c>
      <c r="L170">
        <v>99.4</v>
      </c>
      <c r="M170">
        <v>99.8</v>
      </c>
      <c r="N170">
        <v>100</v>
      </c>
      <c r="O170">
        <v>100</v>
      </c>
      <c r="P170" t="s">
        <v>24</v>
      </c>
      <c r="Q170" t="str">
        <f>VLOOKUP(A170,types,3)</f>
        <v>oligotroof veen</v>
      </c>
      <c r="R170">
        <f t="shared" si="441"/>
        <v>0</v>
      </c>
      <c r="S170">
        <f t="shared" si="429"/>
        <v>0</v>
      </c>
      <c r="T170">
        <f t="shared" si="430"/>
        <v>0</v>
      </c>
      <c r="U170">
        <f t="shared" si="431"/>
        <v>0</v>
      </c>
      <c r="V170">
        <f t="shared" si="432"/>
        <v>0</v>
      </c>
      <c r="W170">
        <f t="shared" si="433"/>
        <v>0</v>
      </c>
      <c r="X170">
        <f t="shared" si="434"/>
        <v>0</v>
      </c>
      <c r="Y170">
        <f t="shared" si="435"/>
        <v>0</v>
      </c>
      <c r="Z170">
        <f t="shared" si="436"/>
        <v>0</v>
      </c>
      <c r="AA170">
        <f t="shared" si="437"/>
        <v>0</v>
      </c>
      <c r="AB170">
        <f t="shared" si="438"/>
        <v>0</v>
      </c>
      <c r="AC170">
        <f t="shared" si="439"/>
        <v>0</v>
      </c>
      <c r="AD170">
        <f t="shared" si="440"/>
        <v>0</v>
      </c>
    </row>
    <row r="171" spans="1:30" x14ac:dyDescent="0.2">
      <c r="A171" t="s">
        <v>46</v>
      </c>
      <c r="B171" t="s">
        <v>111</v>
      </c>
      <c r="C171">
        <v>0</v>
      </c>
      <c r="D171">
        <v>7.7</v>
      </c>
      <c r="E171">
        <v>14.3</v>
      </c>
      <c r="F171">
        <v>20.6</v>
      </c>
      <c r="G171">
        <v>29.3</v>
      </c>
      <c r="H171">
        <v>43.6</v>
      </c>
      <c r="I171">
        <v>57.7</v>
      </c>
      <c r="J171">
        <v>62.6</v>
      </c>
      <c r="K171">
        <v>64.7</v>
      </c>
      <c r="L171">
        <v>65.5</v>
      </c>
      <c r="M171">
        <v>65.7</v>
      </c>
      <c r="N171">
        <v>65.8</v>
      </c>
      <c r="O171">
        <v>65.8</v>
      </c>
      <c r="P171" t="s">
        <v>24</v>
      </c>
      <c r="Q171" t="str">
        <f>VLOOKUP(A171,types,3)</f>
        <v>oligotroof veen</v>
      </c>
      <c r="R171">
        <f t="shared" si="441"/>
        <v>0</v>
      </c>
      <c r="S171">
        <f t="shared" si="429"/>
        <v>0</v>
      </c>
      <c r="T171">
        <f t="shared" si="430"/>
        <v>0</v>
      </c>
      <c r="U171">
        <f t="shared" si="431"/>
        <v>0</v>
      </c>
      <c r="V171">
        <f t="shared" si="432"/>
        <v>0</v>
      </c>
      <c r="W171">
        <f t="shared" si="433"/>
        <v>0</v>
      </c>
      <c r="X171">
        <f t="shared" si="434"/>
        <v>0</v>
      </c>
      <c r="Y171">
        <f t="shared" si="435"/>
        <v>0</v>
      </c>
      <c r="Z171">
        <f t="shared" si="436"/>
        <v>0</v>
      </c>
      <c r="AA171">
        <f t="shared" si="437"/>
        <v>0</v>
      </c>
      <c r="AB171">
        <f t="shared" si="438"/>
        <v>0</v>
      </c>
      <c r="AC171">
        <f t="shared" si="439"/>
        <v>0</v>
      </c>
      <c r="AD171">
        <f t="shared" si="440"/>
        <v>0</v>
      </c>
    </row>
    <row r="173" spans="1:30" x14ac:dyDescent="0.2">
      <c r="A173" t="s">
        <v>47</v>
      </c>
      <c r="B173" t="s">
        <v>121</v>
      </c>
      <c r="C173">
        <v>3.4</v>
      </c>
      <c r="D173">
        <v>0.69</v>
      </c>
      <c r="E173">
        <v>0.42</v>
      </c>
      <c r="F173">
        <v>0.28000000000000003</v>
      </c>
      <c r="G173" s="4">
        <v>0.16</v>
      </c>
      <c r="H173" s="4">
        <v>5.8700000000000002E-2</v>
      </c>
      <c r="I173" s="4">
        <v>1.1299999999999999E-2</v>
      </c>
      <c r="J173" s="4">
        <v>2.7599999999999999E-3</v>
      </c>
      <c r="K173" s="4">
        <v>6.3199999999999997E-4</v>
      </c>
      <c r="L173" s="4">
        <v>8.6199999999999995E-5</v>
      </c>
      <c r="M173" s="4">
        <v>1.8899999999999999E-5</v>
      </c>
      <c r="N173" s="4">
        <v>4.0999999999999997E-6</v>
      </c>
      <c r="O173" s="4">
        <v>1.46E-6</v>
      </c>
      <c r="P173" t="s">
        <v>24</v>
      </c>
      <c r="Q173" t="str">
        <f>VLOOKUP(A173,types,3)</f>
        <v>mesotroof en eutroof veen</v>
      </c>
      <c r="R173">
        <f>0*C173</f>
        <v>0</v>
      </c>
      <c r="S173">
        <f t="shared" ref="S173:S176" si="442">0*D173</f>
        <v>0</v>
      </c>
      <c r="T173">
        <f t="shared" ref="T173:T176" si="443">0*E173</f>
        <v>0</v>
      </c>
      <c r="U173">
        <f t="shared" ref="U173:U176" si="444">0*F173</f>
        <v>0</v>
      </c>
      <c r="V173">
        <f t="shared" ref="V173:V176" si="445">0*G173</f>
        <v>0</v>
      </c>
      <c r="W173">
        <f t="shared" ref="W173:W176" si="446">0*H173</f>
        <v>0</v>
      </c>
      <c r="X173">
        <f t="shared" ref="X173:X176" si="447">0*I173</f>
        <v>0</v>
      </c>
      <c r="Y173">
        <f t="shared" ref="Y173:Y176" si="448">0*J173</f>
        <v>0</v>
      </c>
      <c r="Z173">
        <f t="shared" ref="Z173:Z176" si="449">0*K173</f>
        <v>0</v>
      </c>
      <c r="AA173">
        <f t="shared" ref="AA173:AA176" si="450">0*L173</f>
        <v>0</v>
      </c>
      <c r="AB173">
        <f t="shared" ref="AB173:AB176" si="451">0*M173</f>
        <v>0</v>
      </c>
      <c r="AC173">
        <f t="shared" ref="AC173:AC176" si="452">0*N173</f>
        <v>0</v>
      </c>
      <c r="AD173">
        <f t="shared" ref="AD173:AD176" si="453">0*O173</f>
        <v>0</v>
      </c>
    </row>
    <row r="174" spans="1:30" x14ac:dyDescent="0.2">
      <c r="A174" t="s">
        <v>47</v>
      </c>
      <c r="B174" t="s">
        <v>127</v>
      </c>
      <c r="C174">
        <v>0.84899999999999998</v>
      </c>
      <c r="D174">
        <v>0.83699999999999997</v>
      </c>
      <c r="E174">
        <v>0.82199999999999995</v>
      </c>
      <c r="F174">
        <v>0.80500000000000005</v>
      </c>
      <c r="G174">
        <v>0.77700000000000002</v>
      </c>
      <c r="H174">
        <v>0.71499999999999997</v>
      </c>
      <c r="I174">
        <v>0.60399999999999998</v>
      </c>
      <c r="J174">
        <v>0.51600000000000001</v>
      </c>
      <c r="K174">
        <v>0.434</v>
      </c>
      <c r="L174">
        <v>0.34300000000000003</v>
      </c>
      <c r="M174">
        <v>0.28599999999999998</v>
      </c>
      <c r="N174">
        <v>0.23899999999999999</v>
      </c>
      <c r="O174">
        <v>0.21145</v>
      </c>
      <c r="P174" t="s">
        <v>24</v>
      </c>
      <c r="Q174" t="str">
        <f>VLOOKUP(A174,types,3)</f>
        <v>mesotroof en eutroof veen</v>
      </c>
      <c r="R174">
        <f t="shared" ref="R174:R176" si="454">0*C174</f>
        <v>0</v>
      </c>
      <c r="S174">
        <f t="shared" si="442"/>
        <v>0</v>
      </c>
      <c r="T174">
        <f t="shared" si="443"/>
        <v>0</v>
      </c>
      <c r="U174">
        <f t="shared" si="444"/>
        <v>0</v>
      </c>
      <c r="V174">
        <f t="shared" si="445"/>
        <v>0</v>
      </c>
      <c r="W174">
        <f t="shared" si="446"/>
        <v>0</v>
      </c>
      <c r="X174">
        <f t="shared" si="447"/>
        <v>0</v>
      </c>
      <c r="Y174">
        <f t="shared" si="448"/>
        <v>0</v>
      </c>
      <c r="Z174">
        <f t="shared" si="449"/>
        <v>0</v>
      </c>
      <c r="AA174">
        <f t="shared" si="450"/>
        <v>0</v>
      </c>
      <c r="AB174">
        <f t="shared" si="451"/>
        <v>0</v>
      </c>
      <c r="AC174">
        <f t="shared" si="452"/>
        <v>0</v>
      </c>
      <c r="AD174">
        <f t="shared" si="453"/>
        <v>0</v>
      </c>
    </row>
    <row r="175" spans="1:30" x14ac:dyDescent="0.2">
      <c r="A175" t="s">
        <v>47</v>
      </c>
      <c r="B175" t="s">
        <v>126</v>
      </c>
      <c r="C175">
        <v>0</v>
      </c>
      <c r="D175">
        <v>9.1</v>
      </c>
      <c r="E175">
        <v>17.5</v>
      </c>
      <c r="F175">
        <v>26</v>
      </c>
      <c r="G175">
        <v>38.799999999999997</v>
      </c>
      <c r="H175">
        <v>62.9</v>
      </c>
      <c r="I175">
        <v>92.8</v>
      </c>
      <c r="J175">
        <v>106</v>
      </c>
      <c r="K175">
        <v>112.6</v>
      </c>
      <c r="L175">
        <v>116.1</v>
      </c>
      <c r="M175">
        <v>117.1</v>
      </c>
      <c r="N175">
        <v>117.6</v>
      </c>
      <c r="O175">
        <v>117.7</v>
      </c>
      <c r="P175" t="s">
        <v>24</v>
      </c>
      <c r="Q175" t="str">
        <f>VLOOKUP(A175,types,3)</f>
        <v>mesotroof en eutroof veen</v>
      </c>
      <c r="R175">
        <f t="shared" si="454"/>
        <v>0</v>
      </c>
      <c r="S175">
        <f t="shared" si="442"/>
        <v>0</v>
      </c>
      <c r="T175">
        <f t="shared" si="443"/>
        <v>0</v>
      </c>
      <c r="U175">
        <f t="shared" si="444"/>
        <v>0</v>
      </c>
      <c r="V175">
        <f t="shared" si="445"/>
        <v>0</v>
      </c>
      <c r="W175">
        <f t="shared" si="446"/>
        <v>0</v>
      </c>
      <c r="X175">
        <f t="shared" si="447"/>
        <v>0</v>
      </c>
      <c r="Y175">
        <f t="shared" si="448"/>
        <v>0</v>
      </c>
      <c r="Z175">
        <f t="shared" si="449"/>
        <v>0</v>
      </c>
      <c r="AA175">
        <f t="shared" si="450"/>
        <v>0</v>
      </c>
      <c r="AB175">
        <f t="shared" si="451"/>
        <v>0</v>
      </c>
      <c r="AC175">
        <f t="shared" si="452"/>
        <v>0</v>
      </c>
      <c r="AD175">
        <f t="shared" si="453"/>
        <v>0</v>
      </c>
    </row>
    <row r="176" spans="1:30" x14ac:dyDescent="0.2">
      <c r="A176" t="s">
        <v>47</v>
      </c>
      <c r="B176" t="s">
        <v>111</v>
      </c>
      <c r="C176">
        <v>0</v>
      </c>
      <c r="D176">
        <v>8.4</v>
      </c>
      <c r="E176">
        <v>15.6</v>
      </c>
      <c r="F176">
        <v>22.5</v>
      </c>
      <c r="G176">
        <v>32.200000000000003</v>
      </c>
      <c r="H176">
        <v>48.3</v>
      </c>
      <c r="I176">
        <v>65.2</v>
      </c>
      <c r="J176">
        <v>72</v>
      </c>
      <c r="K176">
        <v>75.3</v>
      </c>
      <c r="L176">
        <v>77</v>
      </c>
      <c r="M176">
        <v>77.5</v>
      </c>
      <c r="N176">
        <v>77.8</v>
      </c>
      <c r="O176">
        <v>77.8</v>
      </c>
      <c r="P176" t="s">
        <v>24</v>
      </c>
      <c r="Q176" t="str">
        <f>VLOOKUP(A176,types,3)</f>
        <v>mesotroof en eutroof veen</v>
      </c>
      <c r="R176">
        <f t="shared" si="454"/>
        <v>0</v>
      </c>
      <c r="S176">
        <f t="shared" si="442"/>
        <v>0</v>
      </c>
      <c r="T176">
        <f t="shared" si="443"/>
        <v>0</v>
      </c>
      <c r="U176">
        <f t="shared" si="444"/>
        <v>0</v>
      </c>
      <c r="V176">
        <f t="shared" si="445"/>
        <v>0</v>
      </c>
      <c r="W176">
        <f t="shared" si="446"/>
        <v>0</v>
      </c>
      <c r="X176">
        <f t="shared" si="447"/>
        <v>0</v>
      </c>
      <c r="Y176">
        <f t="shared" si="448"/>
        <v>0</v>
      </c>
      <c r="Z176">
        <f t="shared" si="449"/>
        <v>0</v>
      </c>
      <c r="AA176">
        <f t="shared" si="450"/>
        <v>0</v>
      </c>
      <c r="AB176">
        <f t="shared" si="451"/>
        <v>0</v>
      </c>
      <c r="AC176">
        <f t="shared" si="452"/>
        <v>0</v>
      </c>
      <c r="AD176">
        <f t="shared" si="453"/>
        <v>0</v>
      </c>
    </row>
    <row r="178" spans="1:30" x14ac:dyDescent="0.2">
      <c r="A178" t="s">
        <v>48</v>
      </c>
      <c r="B178" t="s">
        <v>121</v>
      </c>
      <c r="C178">
        <v>35.950000000000003</v>
      </c>
      <c r="D178">
        <v>8.65</v>
      </c>
      <c r="E178">
        <v>5.22</v>
      </c>
      <c r="F178">
        <v>3.41</v>
      </c>
      <c r="G178">
        <v>1.9</v>
      </c>
      <c r="H178" s="4">
        <v>0.64800000000000002</v>
      </c>
      <c r="I178" s="4">
        <v>0.108</v>
      </c>
      <c r="J178" s="4">
        <v>2.3300000000000001E-2</v>
      </c>
      <c r="K178" s="4">
        <v>4.7099999999999998E-3</v>
      </c>
      <c r="L178" s="4">
        <v>5.44E-4</v>
      </c>
      <c r="M178" s="4">
        <v>1.05E-4</v>
      </c>
      <c r="N178" s="4">
        <v>2.0100000000000001E-5</v>
      </c>
      <c r="O178" s="4">
        <v>6.5799999999999997E-6</v>
      </c>
      <c r="P178" t="s">
        <v>24</v>
      </c>
      <c r="Q178" t="str">
        <f>VLOOKUP(A178,types,3)</f>
        <v>moerige tussenlaag</v>
      </c>
    </row>
    <row r="179" spans="1:30" x14ac:dyDescent="0.2">
      <c r="A179" t="s">
        <v>48</v>
      </c>
      <c r="B179" t="s">
        <v>127</v>
      </c>
      <c r="C179">
        <v>0.57999999999999996</v>
      </c>
      <c r="D179">
        <v>0.57199999999999995</v>
      </c>
      <c r="E179">
        <v>0.56000000000000005</v>
      </c>
      <c r="F179">
        <v>0.54600000000000004</v>
      </c>
      <c r="G179">
        <v>0.52300000000000002</v>
      </c>
      <c r="H179">
        <v>0.47399999999999998</v>
      </c>
      <c r="I179">
        <v>0.38800000000000001</v>
      </c>
      <c r="J179">
        <v>0.32200000000000001</v>
      </c>
      <c r="K179">
        <v>0.26300000000000001</v>
      </c>
      <c r="L179">
        <v>0.20100000000000001</v>
      </c>
      <c r="M179">
        <v>0.16400000000000001</v>
      </c>
      <c r="N179">
        <v>0.13300000000000001</v>
      </c>
      <c r="O179">
        <v>0.11636000000000001</v>
      </c>
      <c r="P179" t="s">
        <v>24</v>
      </c>
      <c r="Q179" t="str">
        <f>VLOOKUP(A179,types,3)</f>
        <v>moerige tussenlaag</v>
      </c>
      <c r="R179">
        <f>0*C179</f>
        <v>0</v>
      </c>
      <c r="S179">
        <f t="shared" ref="S179:S182" si="455">0*D179</f>
        <v>0</v>
      </c>
      <c r="T179">
        <f t="shared" ref="T179:T182" si="456">0*E179</f>
        <v>0</v>
      </c>
      <c r="U179">
        <f t="shared" ref="U179:U182" si="457">0*F179</f>
        <v>0</v>
      </c>
      <c r="V179">
        <f t="shared" ref="V179:V182" si="458">0*G179</f>
        <v>0</v>
      </c>
      <c r="W179">
        <f t="shared" ref="W179:W182" si="459">0*H179</f>
        <v>0</v>
      </c>
      <c r="X179">
        <f t="shared" ref="X179:X182" si="460">0*I179</f>
        <v>0</v>
      </c>
      <c r="Y179">
        <f t="shared" ref="Y179:Y182" si="461">0*J179</f>
        <v>0</v>
      </c>
      <c r="Z179">
        <f t="shared" ref="Z179:Z182" si="462">0*K179</f>
        <v>0</v>
      </c>
      <c r="AA179">
        <f t="shared" ref="AA179:AA182" si="463">0*L179</f>
        <v>0</v>
      </c>
      <c r="AB179">
        <f t="shared" ref="AB179:AB182" si="464">0*M179</f>
        <v>0</v>
      </c>
      <c r="AC179">
        <f t="shared" ref="AC179:AC182" si="465">0*N179</f>
        <v>0</v>
      </c>
      <c r="AD179">
        <f t="shared" ref="AD179:AD182" si="466">0*O179</f>
        <v>0</v>
      </c>
    </row>
    <row r="180" spans="1:30" x14ac:dyDescent="0.2">
      <c r="A180" t="s">
        <v>48</v>
      </c>
      <c r="B180" t="s">
        <v>126</v>
      </c>
      <c r="C180">
        <v>0</v>
      </c>
      <c r="D180">
        <v>9.9</v>
      </c>
      <c r="E180">
        <v>19.8</v>
      </c>
      <c r="F180">
        <v>30.5</v>
      </c>
      <c r="G180">
        <v>48.8</v>
      </c>
      <c r="H180">
        <v>94.3</v>
      </c>
      <c r="I180">
        <v>198.3</v>
      </c>
      <c r="J180">
        <v>279.10000000000002</v>
      </c>
      <c r="K180">
        <v>326.5</v>
      </c>
      <c r="L180">
        <v>350.7</v>
      </c>
      <c r="M180">
        <v>356.7</v>
      </c>
      <c r="N180">
        <v>359.1</v>
      </c>
      <c r="O180">
        <v>359.8</v>
      </c>
      <c r="P180" t="s">
        <v>24</v>
      </c>
      <c r="Q180" t="str">
        <f>VLOOKUP(A180,types,3)</f>
        <v>moerige tussenlaag</v>
      </c>
      <c r="R180">
        <f t="shared" ref="R180:R182" si="467">0*C180</f>
        <v>0</v>
      </c>
      <c r="S180">
        <f t="shared" si="455"/>
        <v>0</v>
      </c>
      <c r="T180">
        <f t="shared" si="456"/>
        <v>0</v>
      </c>
      <c r="U180">
        <f t="shared" si="457"/>
        <v>0</v>
      </c>
      <c r="V180">
        <f t="shared" si="458"/>
        <v>0</v>
      </c>
      <c r="W180">
        <f t="shared" si="459"/>
        <v>0</v>
      </c>
      <c r="X180">
        <f t="shared" si="460"/>
        <v>0</v>
      </c>
      <c r="Y180">
        <f t="shared" si="461"/>
        <v>0</v>
      </c>
      <c r="Z180">
        <f t="shared" si="462"/>
        <v>0</v>
      </c>
      <c r="AA180">
        <f t="shared" si="463"/>
        <v>0</v>
      </c>
      <c r="AB180">
        <f t="shared" si="464"/>
        <v>0</v>
      </c>
      <c r="AC180">
        <f t="shared" si="465"/>
        <v>0</v>
      </c>
      <c r="AD180">
        <f t="shared" si="466"/>
        <v>0</v>
      </c>
    </row>
    <row r="181" spans="1:30" x14ac:dyDescent="0.2">
      <c r="A181" t="s">
        <v>48</v>
      </c>
      <c r="B181" t="s">
        <v>111</v>
      </c>
      <c r="C181">
        <v>0</v>
      </c>
      <c r="D181">
        <v>9.8000000000000007</v>
      </c>
      <c r="E181">
        <v>19.5</v>
      </c>
      <c r="F181">
        <v>30</v>
      </c>
      <c r="G181">
        <v>47.6</v>
      </c>
      <c r="H181">
        <v>89.5</v>
      </c>
      <c r="I181">
        <v>170.5</v>
      </c>
      <c r="J181">
        <v>219.7</v>
      </c>
      <c r="K181">
        <v>244.7</v>
      </c>
      <c r="L181">
        <v>257</v>
      </c>
      <c r="M181">
        <v>260</v>
      </c>
      <c r="N181">
        <v>261.2</v>
      </c>
      <c r="O181">
        <v>261.5</v>
      </c>
      <c r="P181" t="s">
        <v>24</v>
      </c>
      <c r="Q181" t="str">
        <f>VLOOKUP(A181,types,3)</f>
        <v>moerige tussenlaag</v>
      </c>
      <c r="R181">
        <f t="shared" si="467"/>
        <v>0</v>
      </c>
      <c r="S181">
        <f t="shared" si="455"/>
        <v>0</v>
      </c>
      <c r="T181">
        <f t="shared" si="456"/>
        <v>0</v>
      </c>
      <c r="U181">
        <f t="shared" si="457"/>
        <v>0</v>
      </c>
      <c r="V181">
        <f t="shared" si="458"/>
        <v>0</v>
      </c>
      <c r="W181">
        <f t="shared" si="459"/>
        <v>0</v>
      </c>
      <c r="X181">
        <f t="shared" si="460"/>
        <v>0</v>
      </c>
      <c r="Y181">
        <f t="shared" si="461"/>
        <v>0</v>
      </c>
      <c r="Z181">
        <f t="shared" si="462"/>
        <v>0</v>
      </c>
      <c r="AA181">
        <f t="shared" si="463"/>
        <v>0</v>
      </c>
      <c r="AB181">
        <f t="shared" si="464"/>
        <v>0</v>
      </c>
      <c r="AC181">
        <f t="shared" si="465"/>
        <v>0</v>
      </c>
      <c r="AD181">
        <f t="shared" si="466"/>
        <v>0</v>
      </c>
    </row>
    <row r="182" spans="1:30" x14ac:dyDescent="0.2">
      <c r="R182">
        <f t="shared" si="467"/>
        <v>0</v>
      </c>
      <c r="S182">
        <f t="shared" si="455"/>
        <v>0</v>
      </c>
      <c r="T182">
        <f t="shared" si="456"/>
        <v>0</v>
      </c>
      <c r="U182">
        <f t="shared" si="457"/>
        <v>0</v>
      </c>
      <c r="V182">
        <f t="shared" si="458"/>
        <v>0</v>
      </c>
      <c r="W182">
        <f t="shared" si="459"/>
        <v>0</v>
      </c>
      <c r="X182">
        <f t="shared" si="460"/>
        <v>0</v>
      </c>
      <c r="Y182">
        <f t="shared" si="461"/>
        <v>0</v>
      </c>
      <c r="Z182">
        <f t="shared" si="462"/>
        <v>0</v>
      </c>
      <c r="AA182">
        <f t="shared" si="463"/>
        <v>0</v>
      </c>
      <c r="AB182">
        <f t="shared" si="464"/>
        <v>0</v>
      </c>
      <c r="AC182">
        <f t="shared" si="465"/>
        <v>0</v>
      </c>
      <c r="AD182">
        <f t="shared" si="46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types</vt:lpstr>
      <vt:lpstr>tabel4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Olsthoorn</dc:creator>
  <cp:lastModifiedBy>Theo Olsthoorn</cp:lastModifiedBy>
  <dcterms:created xsi:type="dcterms:W3CDTF">2025-08-17T20:46:20Z</dcterms:created>
  <dcterms:modified xsi:type="dcterms:W3CDTF">2026-03-26T01:34:46Z</dcterms:modified>
</cp:coreProperties>
</file>